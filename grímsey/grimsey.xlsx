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onasson/across/vestmanneyjar/"/>
    </mc:Choice>
  </mc:AlternateContent>
  <xr:revisionPtr revIDLastSave="0" documentId="8_{4EB34B15-6F0E-9046-8699-197D4F947B52}" xr6:coauthVersionLast="47" xr6:coauthVersionMax="47" xr10:uidLastSave="{00000000-0000-0000-0000-000000000000}"/>
  <bookViews>
    <workbookView xWindow="4100" yWindow="-28080" windowWidth="27640" windowHeight="16940" xr2:uid="{14598240-26EF-FE4B-8A5C-1705C400108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48" i="1" l="1"/>
  <c r="I148" i="1"/>
  <c r="H148" i="1"/>
  <c r="G148" i="1"/>
  <c r="F148" i="1"/>
  <c r="E148" i="1"/>
  <c r="D148" i="1"/>
  <c r="C148" i="1"/>
  <c r="O147" i="1"/>
  <c r="O146" i="1"/>
  <c r="O145" i="1"/>
  <c r="AC144" i="1"/>
  <c r="O144" i="1"/>
  <c r="AC143" i="1"/>
  <c r="O143" i="1"/>
  <c r="AC142" i="1"/>
  <c r="O142" i="1"/>
  <c r="AC141" i="1"/>
  <c r="O141" i="1"/>
  <c r="AC140" i="1"/>
  <c r="N140" i="1"/>
  <c r="O140" i="1" s="1"/>
  <c r="AC139" i="1"/>
  <c r="O139" i="1"/>
  <c r="AC138" i="1"/>
  <c r="O138" i="1"/>
  <c r="AC137" i="1"/>
  <c r="O137" i="1"/>
  <c r="AC136" i="1"/>
  <c r="O136" i="1"/>
  <c r="AC135" i="1"/>
  <c r="F135" i="1"/>
  <c r="E135" i="1"/>
  <c r="D135" i="1"/>
  <c r="C135" i="1"/>
  <c r="AC134" i="1"/>
  <c r="N134" i="1"/>
  <c r="M134" i="1"/>
  <c r="L134" i="1"/>
  <c r="AC133" i="1"/>
  <c r="O133" i="1"/>
  <c r="AC132" i="1"/>
  <c r="O132" i="1"/>
  <c r="G131" i="1"/>
  <c r="O131" i="1" s="1"/>
  <c r="O130" i="1"/>
  <c r="E129" i="1"/>
  <c r="D129" i="1"/>
  <c r="O129" i="1" s="1"/>
  <c r="O128" i="1"/>
  <c r="O127" i="1"/>
  <c r="O126" i="1"/>
  <c r="C125" i="1"/>
  <c r="O125" i="1" s="1"/>
  <c r="K124" i="1"/>
  <c r="J124" i="1"/>
  <c r="I124" i="1"/>
  <c r="L123" i="1"/>
  <c r="O123" i="1" s="1"/>
  <c r="O122" i="1"/>
  <c r="O121" i="1"/>
  <c r="G120" i="1"/>
  <c r="F120" i="1"/>
  <c r="E120" i="1"/>
  <c r="D120" i="1"/>
  <c r="O119" i="1"/>
  <c r="O118" i="1"/>
  <c r="E117" i="1"/>
  <c r="L101" i="1"/>
  <c r="K101" i="1"/>
  <c r="J101" i="1"/>
  <c r="I101" i="1"/>
  <c r="H101" i="1"/>
  <c r="G101" i="1"/>
  <c r="F101" i="1"/>
  <c r="O100" i="1"/>
  <c r="O99" i="1"/>
  <c r="O98" i="1"/>
  <c r="O97" i="1"/>
  <c r="O96" i="1"/>
  <c r="O95" i="1"/>
  <c r="O94" i="1"/>
  <c r="N93" i="1"/>
  <c r="M93" i="1"/>
  <c r="O93" i="1" s="1"/>
  <c r="O92" i="1"/>
  <c r="O91" i="1"/>
  <c r="O90" i="1"/>
  <c r="O89" i="1"/>
  <c r="M85" i="1"/>
  <c r="O85" i="1" s="1"/>
  <c r="L85" i="1"/>
  <c r="O84" i="1"/>
  <c r="L83" i="1"/>
  <c r="K83" i="1"/>
  <c r="O83" i="1" s="1"/>
  <c r="O82" i="1"/>
  <c r="I81" i="1"/>
  <c r="O81" i="1" s="1"/>
  <c r="H81" i="1"/>
  <c r="O80" i="1"/>
  <c r="H79" i="1"/>
  <c r="G79" i="1"/>
  <c r="F79" i="1"/>
  <c r="D79" i="1"/>
  <c r="C79" i="1"/>
  <c r="N78" i="1"/>
  <c r="M78" i="1"/>
  <c r="L78" i="1"/>
  <c r="K78" i="1"/>
  <c r="J78" i="1"/>
  <c r="I78" i="1"/>
  <c r="K77" i="1"/>
  <c r="O77" i="1" s="1"/>
  <c r="O76" i="1"/>
  <c r="O75" i="1"/>
  <c r="O74" i="1"/>
  <c r="O73" i="1"/>
  <c r="J72" i="1"/>
  <c r="I72" i="1"/>
  <c r="F72" i="1"/>
  <c r="E72" i="1"/>
  <c r="O72" i="1" s="1"/>
  <c r="N71" i="1"/>
  <c r="M71" i="1"/>
  <c r="H71" i="1"/>
  <c r="D71" i="1"/>
  <c r="C71" i="1"/>
  <c r="G70" i="1"/>
  <c r="O68" i="1"/>
  <c r="D67" i="1"/>
  <c r="K66" i="1"/>
  <c r="J66" i="1"/>
  <c r="I66" i="1"/>
  <c r="G66" i="1"/>
  <c r="F66" i="1"/>
  <c r="E66" i="1"/>
  <c r="C66" i="1"/>
  <c r="O64" i="1"/>
  <c r="O63" i="1"/>
  <c r="L62" i="1"/>
  <c r="D62" i="1"/>
  <c r="C62" i="1"/>
  <c r="O60" i="1"/>
  <c r="O59" i="1"/>
  <c r="O58" i="1"/>
  <c r="O57" i="1"/>
  <c r="I56" i="1"/>
  <c r="H56" i="1"/>
  <c r="O56" i="1" s="1"/>
  <c r="O55" i="1"/>
  <c r="O54" i="1"/>
  <c r="O53" i="1"/>
  <c r="O52" i="1"/>
  <c r="O51" i="1"/>
  <c r="O50" i="1"/>
  <c r="O49" i="1"/>
  <c r="O48" i="1"/>
  <c r="O47" i="1"/>
  <c r="O46" i="1"/>
  <c r="O45" i="1"/>
  <c r="O44" i="1"/>
  <c r="O43" i="1"/>
  <c r="O42" i="1"/>
  <c r="O41" i="1"/>
  <c r="O40" i="1"/>
  <c r="O39" i="1"/>
  <c r="O38" i="1"/>
  <c r="O37" i="1"/>
  <c r="O36" i="1"/>
  <c r="O35" i="1"/>
  <c r="O34" i="1"/>
  <c r="O33" i="1"/>
  <c r="O32" i="1"/>
  <c r="O31" i="1"/>
  <c r="O30" i="1"/>
  <c r="O29" i="1"/>
  <c r="O28" i="1"/>
  <c r="O27" i="1"/>
  <c r="O26" i="1"/>
  <c r="O25" i="1"/>
  <c r="G24" i="1"/>
  <c r="F24" i="1"/>
  <c r="D24" i="1"/>
  <c r="C24" i="1"/>
  <c r="N23" i="1"/>
  <c r="M23" i="1"/>
  <c r="L23" i="1"/>
  <c r="K23" i="1"/>
  <c r="O22" i="1"/>
  <c r="O21" i="1"/>
  <c r="O20" i="1"/>
  <c r="O19" i="1"/>
  <c r="O18" i="1"/>
  <c r="O17" i="1"/>
  <c r="O16" i="1"/>
  <c r="O15" i="1"/>
  <c r="O14" i="1"/>
  <c r="O13" i="1"/>
  <c r="O12" i="1"/>
  <c r="O11" i="1"/>
  <c r="O10" i="1"/>
  <c r="O7" i="1"/>
  <c r="O6" i="1"/>
  <c r="O5" i="1"/>
  <c r="O4" i="1"/>
  <c r="O3" i="1"/>
  <c r="O23" i="1" l="1"/>
  <c r="O120" i="1"/>
  <c r="O78" i="1"/>
  <c r="O148" i="1"/>
  <c r="O79" i="1"/>
  <c r="O135" i="1"/>
  <c r="O71" i="1"/>
  <c r="O24" i="1"/>
  <c r="O124" i="1"/>
  <c r="O13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trausti</author>
    <author>tc={E0F750A4-C713-C249-AC67-88BA3A551318}</author>
  </authors>
  <commentList>
    <comment ref="A2" authorId="0" shapeId="0" xr:uid="{B4906188-F5BD-D248-98BC-60BD3ACD5C82}">
      <text>
        <r>
          <rPr>
            <b/>
            <sz val="8"/>
            <color rgb="FF000000"/>
            <rFont val="Tahoma"/>
            <family val="2"/>
          </rPr>
          <t>trausti:</t>
        </r>
        <r>
          <rPr>
            <sz val="8"/>
            <color rgb="FF000000"/>
            <rFont val="Tahoma"/>
            <family val="2"/>
          </rPr>
          <t xml:space="preserve">
</t>
        </r>
        <r>
          <rPr>
            <sz val="8"/>
            <color rgb="FF000000"/>
            <rFont val="Tahoma"/>
            <family val="2"/>
          </rPr>
          <t xml:space="preserve">The instrument broke in early 1880. During early 1881 the sea was covered with drift-ice. The pre-1880 values are a bit on the high side. If they are reliable the high temperatures are very interesting, but it is a bit uncomfortable that the "cooling" occurs as the same time as the instrument change. This "warm period" real or not is not seen at the East coast
</t>
        </r>
        <r>
          <rPr>
            <sz val="8"/>
            <color rgb="FF000000"/>
            <rFont val="Tahoma"/>
            <family val="2"/>
          </rPr>
          <t xml:space="preserve">(Teigarhorn and Papey) </t>
        </r>
      </text>
    </comment>
    <comment ref="A23" authorId="0" shapeId="0" xr:uid="{55F825F7-71EF-054F-9D55-C184B3B7C45A}">
      <text>
        <r>
          <rPr>
            <b/>
            <sz val="8"/>
            <color indexed="81"/>
            <rFont val="Tahoma"/>
            <family val="2"/>
          </rPr>
          <t>trausti:</t>
        </r>
        <r>
          <rPr>
            <sz val="8"/>
            <color indexed="81"/>
            <rFont val="Tahoma"/>
            <family val="2"/>
          </rPr>
          <t xml:space="preserve">
There were almost no observations of any kind at the station during Sept. 1895 yo May 1896 and a subsequent change of observer.</t>
        </r>
      </text>
    </comment>
    <comment ref="A61" authorId="0" shapeId="0" xr:uid="{3A55E4A8-0221-2749-A6FF-BF4C0CF11254}">
      <text>
        <r>
          <rPr>
            <b/>
            <sz val="8"/>
            <color indexed="81"/>
            <rFont val="Tahoma"/>
            <family val="2"/>
          </rPr>
          <t>trausti:</t>
        </r>
        <r>
          <rPr>
            <sz val="8"/>
            <color indexed="81"/>
            <rFont val="Tahoma"/>
            <family val="2"/>
          </rPr>
          <t xml:space="preserve">
During the 1933 to 1942 period the many months are missing from the observations, reason unknown.</t>
        </r>
      </text>
    </comment>
    <comment ref="H80" authorId="0" shapeId="0" xr:uid="{7587A87D-22F1-F745-91F2-36AB05E578D3}">
      <text>
        <r>
          <rPr>
            <b/>
            <sz val="8"/>
            <color indexed="81"/>
            <rFont val="Tahoma"/>
            <family val="2"/>
          </rPr>
          <t>trausti:</t>
        </r>
        <r>
          <rPr>
            <sz val="8"/>
            <color indexed="81"/>
            <rFont val="Tahoma"/>
            <family val="2"/>
          </rPr>
          <t xml:space="preserve">
hitnun frá maí á Raufarhöfn</t>
        </r>
      </text>
    </comment>
    <comment ref="A86" authorId="0" shapeId="0" xr:uid="{94F46583-CB3F-E948-AF72-A11F3A4DA90D}">
      <text>
        <r>
          <rPr>
            <b/>
            <sz val="8"/>
            <color indexed="81"/>
            <rFont val="Tahoma"/>
            <family val="2"/>
          </rPr>
          <t>trausti:</t>
        </r>
        <r>
          <rPr>
            <sz val="8"/>
            <color indexed="81"/>
            <rFont val="Tahoma"/>
            <family val="2"/>
          </rPr>
          <t xml:space="preserve">
The IMO sst observations end in 1958, later observations were made by the MRI</t>
        </r>
      </text>
    </comment>
    <comment ref="A146" authorId="1" shapeId="0" xr:uid="{E0F750A4-C713-C249-AC67-88BA3A551318}">
      <text>
        <t>[Threaded comment]
Your version of Excel allows you to read this threaded comment; however, any edits to it will get removed if the file is opened in a newer version of Excel. Learn more: https://go.microsoft.com/fwlink/?linkid=870924
Comment:
    wggr "select stod,ar,man,dec(round(avg(ts),2),7,2) as tm,count(ts) as tel from ath.sj_hragogn where stod=8344 and ar=2018 group by stod,ar,man order by man"</t>
      </text>
    </comment>
  </commentList>
</comments>
</file>

<file path=xl/sharedStrings.xml><?xml version="1.0" encoding="utf-8"?>
<sst xmlns="http://schemas.openxmlformats.org/spreadsheetml/2006/main" count="278" uniqueCount="15">
  <si>
    <t>statid</t>
  </si>
  <si>
    <t>ár</t>
  </si>
  <si>
    <t>jan</t>
  </si>
  <si>
    <t>feb</t>
  </si>
  <si>
    <t>mar</t>
  </si>
  <si>
    <t>apr</t>
  </si>
  <si>
    <t>maí</t>
  </si>
  <si>
    <t>jún</t>
  </si>
  <si>
    <t>júl</t>
  </si>
  <si>
    <t>ágú</t>
  </si>
  <si>
    <t>sep</t>
  </si>
  <si>
    <t>okt</t>
  </si>
  <si>
    <t>nóv</t>
  </si>
  <si>
    <t>des</t>
  </si>
  <si>
    <t>#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</si>
</sst>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2"/>
      <color theme="1"/>
      <name val="Aptos Narrow"/>
      <family val="2"/>
      <scheme val="minor"/>
    </font>
    <font>
      <sz val="10"/>
      <color indexed="10"/>
      <name val="Arial"/>
      <family val="2"/>
    </font>
    <font>
      <sz val="10"/>
      <color indexed="12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sz val="8"/>
      <color rgb="FF000000"/>
      <name val="Tahoma"/>
      <family val="2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sz val="10"/>
      <color rgb="FF000000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2" fontId="0" fillId="0" borderId="0" xfId="0" applyNumberFormat="1"/>
    <xf numFmtId="2" fontId="1" fillId="0" borderId="0" xfId="0" applyNumberFormat="1" applyFont="1"/>
    <xf numFmtId="2" fontId="2" fillId="0" borderId="0" xfId="0" applyNumberFormat="1" applyFont="1"/>
    <xf numFmtId="1" fontId="0" fillId="0" borderId="0" xfId="0" applyNumberFormat="1"/>
    <xf numFmtId="2" fontId="3" fillId="0" borderId="0" xfId="0" applyNumberFormat="1" applyFont="1"/>
    <xf numFmtId="0" fontId="3" fillId="0" borderId="0" xfId="0" applyFont="1"/>
    <xf numFmtId="1" fontId="4" fillId="0" borderId="0" xfId="0" applyNumberFormat="1" applyFont="1"/>
    <xf numFmtId="2" fontId="4" fillId="0" borderId="0" xfId="0" applyNumberFormat="1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Trausti Jónsson" id="{58F39EA2-DE5A-2E4A-B52B-A783A95E6108}" userId="Trausti Jónsson" providerId="Non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146" dT="2019-01-24T16:17:32.57" personId="{58F39EA2-DE5A-2E4A-B52B-A783A95E6108}" id="{E0F750A4-C713-C249-AC67-88BA3A551318}">
    <text>wggr "select stod,ar,man,dec(round(avg(ts),2),7,2) as tm,count(ts) as tel from ath.sj_hragogn where stod=8344 and ar=2018 group by stod,ar,man order by man"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10ED4C-CD48-4446-BA2A-2EFAE79C852C}">
  <dimension ref="A1:AC149"/>
  <sheetViews>
    <sheetView tabSelected="1" workbookViewId="0">
      <selection sqref="A1:AC149"/>
    </sheetView>
  </sheetViews>
  <sheetFormatPr baseColWidth="10" defaultRowHeight="16" x14ac:dyDescent="0.2"/>
  <sheetData>
    <row r="1" spans="1:29" x14ac:dyDescent="0.2">
      <c r="A1" t="s">
        <v>0</v>
      </c>
      <c r="B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</v>
      </c>
      <c r="P1" t="s">
        <v>1</v>
      </c>
      <c r="Q1" t="s">
        <v>2</v>
      </c>
      <c r="R1" t="s">
        <v>3</v>
      </c>
      <c r="S1" t="s">
        <v>4</v>
      </c>
      <c r="T1" t="s">
        <v>5</v>
      </c>
      <c r="U1" t="s">
        <v>6</v>
      </c>
      <c r="V1" t="s">
        <v>7</v>
      </c>
      <c r="W1" t="s">
        <v>8</v>
      </c>
      <c r="X1" t="s">
        <v>9</v>
      </c>
      <c r="Y1" t="s">
        <v>10</v>
      </c>
      <c r="Z1" t="s">
        <v>11</v>
      </c>
      <c r="AA1" t="s">
        <v>12</v>
      </c>
      <c r="AB1" t="s">
        <v>13</v>
      </c>
      <c r="AC1" t="s">
        <v>1</v>
      </c>
    </row>
    <row r="2" spans="1:29" x14ac:dyDescent="0.2">
      <c r="A2">
        <v>404</v>
      </c>
      <c r="B2">
        <v>1874</v>
      </c>
      <c r="C2" s="1" t="s">
        <v>14</v>
      </c>
      <c r="D2" s="1" t="s">
        <v>14</v>
      </c>
      <c r="E2" s="1" t="s">
        <v>14</v>
      </c>
      <c r="F2" s="1" t="s">
        <v>14</v>
      </c>
      <c r="G2" s="1">
        <v>4</v>
      </c>
      <c r="H2" s="1">
        <v>5.7</v>
      </c>
      <c r="I2" s="1">
        <v>8.3000000000000007</v>
      </c>
      <c r="J2" s="1">
        <v>8.3000000000000007</v>
      </c>
      <c r="K2" s="1">
        <v>8</v>
      </c>
      <c r="L2" s="1">
        <v>6.4</v>
      </c>
      <c r="M2" s="1">
        <v>5.3</v>
      </c>
      <c r="N2" s="1">
        <v>3.5</v>
      </c>
      <c r="O2" s="1" t="s">
        <v>14</v>
      </c>
      <c r="P2">
        <v>1874</v>
      </c>
      <c r="Q2">
        <v>-11.3</v>
      </c>
      <c r="R2">
        <v>-5.2</v>
      </c>
      <c r="S2">
        <v>-4.3</v>
      </c>
      <c r="T2">
        <v>-1.8</v>
      </c>
      <c r="U2">
        <v>3</v>
      </c>
      <c r="V2">
        <v>6.3</v>
      </c>
      <c r="W2">
        <v>7.54</v>
      </c>
      <c r="X2">
        <v>6.65</v>
      </c>
      <c r="Y2">
        <v>5.01</v>
      </c>
      <c r="Z2">
        <v>1.63</v>
      </c>
      <c r="AA2">
        <v>-0.1</v>
      </c>
      <c r="AB2">
        <v>-1.58</v>
      </c>
      <c r="AC2">
        <v>0.49</v>
      </c>
    </row>
    <row r="3" spans="1:29" x14ac:dyDescent="0.2">
      <c r="A3">
        <v>404</v>
      </c>
      <c r="B3">
        <v>1875</v>
      </c>
      <c r="C3" s="1">
        <v>2.9</v>
      </c>
      <c r="D3" s="1">
        <v>2.8</v>
      </c>
      <c r="E3" s="1">
        <v>3.4</v>
      </c>
      <c r="F3" s="1">
        <v>3.7</v>
      </c>
      <c r="G3" s="1">
        <v>5.3</v>
      </c>
      <c r="H3" s="1">
        <v>6.3</v>
      </c>
      <c r="I3" s="1">
        <v>8.1</v>
      </c>
      <c r="J3" s="1">
        <v>8.8000000000000007</v>
      </c>
      <c r="K3" s="1">
        <v>7.5</v>
      </c>
      <c r="L3" s="1">
        <v>6.6</v>
      </c>
      <c r="M3" s="1">
        <v>5.3</v>
      </c>
      <c r="N3" s="1">
        <v>5.0999999999999996</v>
      </c>
      <c r="O3" s="1">
        <f>ROUND(AVERAGE(C3:N3),2)</f>
        <v>5.48</v>
      </c>
      <c r="P3">
        <v>1875</v>
      </c>
      <c r="Q3">
        <v>-2.2999999999999998</v>
      </c>
      <c r="R3">
        <v>0.18</v>
      </c>
      <c r="S3">
        <v>0.95</v>
      </c>
      <c r="T3">
        <v>1.78</v>
      </c>
      <c r="U3">
        <v>3.48</v>
      </c>
      <c r="V3">
        <v>4.5</v>
      </c>
      <c r="W3">
        <v>7.34</v>
      </c>
      <c r="X3">
        <v>8</v>
      </c>
      <c r="Y3">
        <v>5.91</v>
      </c>
      <c r="Z3">
        <v>3.88</v>
      </c>
      <c r="AA3">
        <v>-0.45</v>
      </c>
      <c r="AB3">
        <v>2.12</v>
      </c>
      <c r="AC3">
        <v>2.95</v>
      </c>
    </row>
    <row r="4" spans="1:29" x14ac:dyDescent="0.2">
      <c r="A4">
        <v>404</v>
      </c>
      <c r="B4">
        <v>1876</v>
      </c>
      <c r="C4" s="1">
        <v>5.3</v>
      </c>
      <c r="D4" s="1">
        <v>4.0999999999999996</v>
      </c>
      <c r="E4" s="1">
        <v>2.7</v>
      </c>
      <c r="F4" s="1">
        <v>2</v>
      </c>
      <c r="G4" s="1">
        <v>3.6</v>
      </c>
      <c r="H4" s="1">
        <v>4.5999999999999996</v>
      </c>
      <c r="I4" s="1">
        <v>7.5</v>
      </c>
      <c r="J4" s="1">
        <v>9</v>
      </c>
      <c r="K4" s="1">
        <v>9</v>
      </c>
      <c r="L4" s="1">
        <v>7.8</v>
      </c>
      <c r="M4" s="1">
        <v>6.5</v>
      </c>
      <c r="N4" s="1">
        <v>5.9</v>
      </c>
      <c r="O4" s="1">
        <f>ROUND(AVERAGE(C4:N4),2)</f>
        <v>5.67</v>
      </c>
      <c r="P4">
        <v>1876</v>
      </c>
      <c r="Q4">
        <v>1.55</v>
      </c>
      <c r="R4">
        <v>-1.72</v>
      </c>
      <c r="S4">
        <v>-5.2</v>
      </c>
      <c r="T4">
        <v>-7.22</v>
      </c>
      <c r="U4">
        <v>3.03</v>
      </c>
      <c r="V4">
        <v>5.15</v>
      </c>
      <c r="W4">
        <v>6.94</v>
      </c>
      <c r="X4">
        <v>8.65</v>
      </c>
      <c r="Y4">
        <v>6.51</v>
      </c>
      <c r="Z4">
        <v>4.2300000000000004</v>
      </c>
      <c r="AA4">
        <v>1.8</v>
      </c>
      <c r="AB4">
        <v>1.07</v>
      </c>
      <c r="AC4">
        <v>2.0699999999999998</v>
      </c>
    </row>
    <row r="5" spans="1:29" x14ac:dyDescent="0.2">
      <c r="A5">
        <v>404</v>
      </c>
      <c r="B5">
        <v>1877</v>
      </c>
      <c r="C5" s="1">
        <v>4.8</v>
      </c>
      <c r="D5" s="1">
        <v>3.6</v>
      </c>
      <c r="E5" s="1">
        <v>2.8</v>
      </c>
      <c r="F5" s="1">
        <v>2.7</v>
      </c>
      <c r="G5" s="1">
        <v>4.4000000000000004</v>
      </c>
      <c r="H5" s="1">
        <v>5.0999999999999996</v>
      </c>
      <c r="I5" s="1">
        <v>6.5</v>
      </c>
      <c r="J5" s="1">
        <v>8.4</v>
      </c>
      <c r="K5" s="1">
        <v>8.6999999999999993</v>
      </c>
      <c r="L5" s="1">
        <v>6.6</v>
      </c>
      <c r="M5" s="1">
        <v>5.7</v>
      </c>
      <c r="N5" s="1">
        <v>4</v>
      </c>
      <c r="O5" s="1">
        <f>ROUND(AVERAGE(C5:N5),2)</f>
        <v>5.28</v>
      </c>
      <c r="P5">
        <v>1877</v>
      </c>
      <c r="Q5">
        <v>-1.2</v>
      </c>
      <c r="R5">
        <v>-3.52</v>
      </c>
      <c r="S5">
        <v>-4.1500000000000004</v>
      </c>
      <c r="T5">
        <v>-2.4700000000000002</v>
      </c>
      <c r="U5">
        <v>1.68</v>
      </c>
      <c r="V5">
        <v>3.9</v>
      </c>
      <c r="W5">
        <v>5.64</v>
      </c>
      <c r="X5">
        <v>6.55</v>
      </c>
      <c r="Y5">
        <v>7.26</v>
      </c>
      <c r="Z5">
        <v>2.23</v>
      </c>
      <c r="AA5">
        <v>-0.85</v>
      </c>
      <c r="AB5">
        <v>-1.58</v>
      </c>
      <c r="AC5">
        <v>1.1200000000000001</v>
      </c>
    </row>
    <row r="6" spans="1:29" x14ac:dyDescent="0.2">
      <c r="A6">
        <v>404</v>
      </c>
      <c r="B6">
        <v>1878</v>
      </c>
      <c r="C6" s="1">
        <v>2.2999999999999998</v>
      </c>
      <c r="D6" s="1">
        <v>1.8</v>
      </c>
      <c r="E6" s="1">
        <v>1.3</v>
      </c>
      <c r="F6" s="1">
        <v>1.2</v>
      </c>
      <c r="G6" s="1">
        <v>2.8</v>
      </c>
      <c r="H6" s="1">
        <v>5.6</v>
      </c>
      <c r="I6" s="1">
        <v>8.6999999999999993</v>
      </c>
      <c r="J6" s="1">
        <v>10.199999999999999</v>
      </c>
      <c r="K6" s="1">
        <v>9.1</v>
      </c>
      <c r="L6" s="1">
        <v>6.9</v>
      </c>
      <c r="M6" s="1">
        <v>5</v>
      </c>
      <c r="N6" s="1">
        <v>0.9</v>
      </c>
      <c r="O6" s="1">
        <f>ROUND(AVERAGE(C6:N6),2)</f>
        <v>4.6500000000000004</v>
      </c>
      <c r="P6">
        <v>1878</v>
      </c>
      <c r="Q6">
        <v>-2.95</v>
      </c>
      <c r="R6">
        <v>-2.72</v>
      </c>
      <c r="S6">
        <v>-4.6500000000000004</v>
      </c>
      <c r="T6">
        <v>-2.17</v>
      </c>
      <c r="U6">
        <v>0.33</v>
      </c>
      <c r="V6">
        <v>6.75</v>
      </c>
      <c r="W6">
        <v>9.34</v>
      </c>
      <c r="X6">
        <v>8.85</v>
      </c>
      <c r="Y6">
        <v>5.66</v>
      </c>
      <c r="Z6">
        <v>1.18</v>
      </c>
      <c r="AA6">
        <v>-0.6</v>
      </c>
      <c r="AB6">
        <v>-6.28</v>
      </c>
      <c r="AC6">
        <v>1.06</v>
      </c>
    </row>
    <row r="7" spans="1:29" x14ac:dyDescent="0.2">
      <c r="A7">
        <v>404</v>
      </c>
      <c r="B7">
        <v>1879</v>
      </c>
      <c r="C7" s="1">
        <v>1.4</v>
      </c>
      <c r="D7" s="1">
        <v>1.8</v>
      </c>
      <c r="E7" s="1">
        <v>1.3</v>
      </c>
      <c r="F7" s="1">
        <v>2.9</v>
      </c>
      <c r="G7" s="1">
        <v>4.3</v>
      </c>
      <c r="H7" s="1">
        <v>6.1</v>
      </c>
      <c r="I7" s="1">
        <v>7.2</v>
      </c>
      <c r="J7" s="1">
        <v>9.1</v>
      </c>
      <c r="K7" s="1">
        <v>8.5</v>
      </c>
      <c r="L7" s="1">
        <v>7.9</v>
      </c>
      <c r="M7" s="1">
        <v>6.6</v>
      </c>
      <c r="N7" s="1">
        <v>5.8</v>
      </c>
      <c r="O7" s="1">
        <f>ROUND(AVERAGE(C7:N7),2)</f>
        <v>5.24</v>
      </c>
      <c r="P7">
        <v>1879</v>
      </c>
      <c r="Q7">
        <v>-0.95</v>
      </c>
      <c r="R7">
        <v>-3.52</v>
      </c>
      <c r="S7">
        <v>-3.65</v>
      </c>
      <c r="T7">
        <v>-0.62</v>
      </c>
      <c r="U7">
        <v>2.33</v>
      </c>
      <c r="V7">
        <v>5.2</v>
      </c>
      <c r="W7">
        <v>5.54</v>
      </c>
      <c r="X7">
        <v>8.35</v>
      </c>
      <c r="Y7">
        <v>5.66</v>
      </c>
      <c r="Z7">
        <v>4.03</v>
      </c>
      <c r="AA7">
        <v>1.85</v>
      </c>
      <c r="AB7">
        <v>0.92</v>
      </c>
      <c r="AC7">
        <v>2.1</v>
      </c>
    </row>
    <row r="8" spans="1:29" x14ac:dyDescent="0.2">
      <c r="A8">
        <v>404</v>
      </c>
      <c r="B8">
        <v>1880</v>
      </c>
      <c r="C8" s="1" t="s">
        <v>14</v>
      </c>
      <c r="D8" s="1" t="s">
        <v>14</v>
      </c>
      <c r="E8" s="1" t="s">
        <v>14</v>
      </c>
      <c r="F8" s="1" t="s">
        <v>14</v>
      </c>
      <c r="G8" s="1" t="s">
        <v>14</v>
      </c>
      <c r="H8" s="1">
        <v>8</v>
      </c>
      <c r="I8" s="1">
        <v>10</v>
      </c>
      <c r="J8" s="1">
        <v>9.6999999999999993</v>
      </c>
      <c r="K8" s="1">
        <v>8.1999999999999993</v>
      </c>
      <c r="L8" s="1">
        <v>5.7</v>
      </c>
      <c r="M8" s="1">
        <v>2.8</v>
      </c>
      <c r="N8" s="1">
        <v>0.7</v>
      </c>
      <c r="O8" s="1" t="s">
        <v>14</v>
      </c>
      <c r="P8">
        <v>1880</v>
      </c>
      <c r="Q8">
        <v>0.5</v>
      </c>
      <c r="R8">
        <v>-1.17</v>
      </c>
      <c r="S8">
        <v>1.3</v>
      </c>
      <c r="T8">
        <v>3.33</v>
      </c>
      <c r="U8">
        <v>3.73</v>
      </c>
      <c r="V8">
        <v>7.1</v>
      </c>
      <c r="W8">
        <v>10.24</v>
      </c>
      <c r="X8">
        <v>10.8</v>
      </c>
      <c r="Y8">
        <v>5.01</v>
      </c>
      <c r="Z8">
        <v>0.88</v>
      </c>
      <c r="AA8">
        <v>-3.8</v>
      </c>
      <c r="AB8">
        <v>-8.7799999999999994</v>
      </c>
      <c r="AC8">
        <v>2.4300000000000002</v>
      </c>
    </row>
    <row r="9" spans="1:29" x14ac:dyDescent="0.2">
      <c r="A9">
        <v>404</v>
      </c>
      <c r="B9">
        <v>1881</v>
      </c>
      <c r="C9" s="1" t="s">
        <v>14</v>
      </c>
      <c r="D9" s="1" t="s">
        <v>14</v>
      </c>
      <c r="E9" s="1" t="s">
        <v>14</v>
      </c>
      <c r="F9" s="1" t="s">
        <v>14</v>
      </c>
      <c r="G9" s="1" t="s">
        <v>14</v>
      </c>
      <c r="H9" s="1">
        <v>3.9</v>
      </c>
      <c r="I9" s="1">
        <v>6.5</v>
      </c>
      <c r="J9" s="1">
        <v>7.3</v>
      </c>
      <c r="K9" s="1">
        <v>8.1999999999999993</v>
      </c>
      <c r="L9" s="1">
        <v>6.5</v>
      </c>
      <c r="M9" s="1">
        <v>5.7</v>
      </c>
      <c r="N9" s="1">
        <v>4.2</v>
      </c>
      <c r="O9" s="1" t="s">
        <v>14</v>
      </c>
      <c r="P9">
        <v>1881</v>
      </c>
      <c r="Q9">
        <v>-13.1</v>
      </c>
      <c r="R9">
        <v>-10.82</v>
      </c>
      <c r="S9">
        <v>-17</v>
      </c>
      <c r="T9">
        <v>-1.47</v>
      </c>
      <c r="U9">
        <v>1.98</v>
      </c>
      <c r="V9">
        <v>5.05</v>
      </c>
      <c r="W9">
        <v>6.29</v>
      </c>
      <c r="X9">
        <v>5.75</v>
      </c>
      <c r="Y9">
        <v>7.76</v>
      </c>
      <c r="Z9">
        <v>4.08</v>
      </c>
      <c r="AA9">
        <v>1.4</v>
      </c>
      <c r="AB9">
        <v>-0.23</v>
      </c>
      <c r="AC9">
        <v>-0.86</v>
      </c>
    </row>
    <row r="10" spans="1:29" x14ac:dyDescent="0.2">
      <c r="A10">
        <v>404</v>
      </c>
      <c r="B10">
        <v>1882</v>
      </c>
      <c r="C10" s="1">
        <v>2.8</v>
      </c>
      <c r="D10" s="1">
        <v>0.9</v>
      </c>
      <c r="E10" s="1">
        <v>-0.2</v>
      </c>
      <c r="F10" s="1">
        <v>-0.1</v>
      </c>
      <c r="G10" s="1">
        <v>1</v>
      </c>
      <c r="H10" s="1">
        <v>1.5</v>
      </c>
      <c r="I10" s="1">
        <v>2.5</v>
      </c>
      <c r="J10" s="1">
        <v>2</v>
      </c>
      <c r="K10" s="1">
        <v>3.3</v>
      </c>
      <c r="L10" s="1">
        <v>4.2</v>
      </c>
      <c r="M10" s="1">
        <v>4.2</v>
      </c>
      <c r="N10" s="1">
        <v>3.3</v>
      </c>
      <c r="O10" s="1">
        <f t="shared" ref="O10:O56" si="0">ROUND(AVERAGE(C10:N10),2)</f>
        <v>2.12</v>
      </c>
      <c r="P10">
        <v>1882</v>
      </c>
      <c r="Q10">
        <v>-1.9</v>
      </c>
      <c r="R10">
        <v>-6.62</v>
      </c>
      <c r="S10">
        <v>-5.55</v>
      </c>
      <c r="T10">
        <v>-4.97</v>
      </c>
      <c r="U10">
        <v>-0.42</v>
      </c>
      <c r="V10">
        <v>1.7</v>
      </c>
      <c r="W10">
        <v>3.79</v>
      </c>
      <c r="X10">
        <v>2.35</v>
      </c>
      <c r="Y10">
        <v>3.61</v>
      </c>
      <c r="Z10">
        <v>4.4800000000000004</v>
      </c>
      <c r="AA10">
        <v>0.2</v>
      </c>
      <c r="AB10">
        <v>-1.83</v>
      </c>
      <c r="AC10">
        <v>-0.43</v>
      </c>
    </row>
    <row r="11" spans="1:29" x14ac:dyDescent="0.2">
      <c r="A11">
        <v>404</v>
      </c>
      <c r="B11">
        <v>1883</v>
      </c>
      <c r="C11" s="1">
        <v>2.5</v>
      </c>
      <c r="D11" s="1">
        <v>2.5</v>
      </c>
      <c r="E11" s="1">
        <v>2.2000000000000002</v>
      </c>
      <c r="F11" s="1">
        <v>2.7</v>
      </c>
      <c r="G11" s="1">
        <v>2.8</v>
      </c>
      <c r="H11" s="1">
        <v>4</v>
      </c>
      <c r="I11" s="1">
        <v>5.3</v>
      </c>
      <c r="J11" s="1">
        <v>6.6</v>
      </c>
      <c r="K11" s="1">
        <v>7.1</v>
      </c>
      <c r="L11" s="1">
        <v>5.7</v>
      </c>
      <c r="M11" s="1">
        <v>4.5</v>
      </c>
      <c r="N11" s="1">
        <v>2.4</v>
      </c>
      <c r="O11" s="1">
        <f t="shared" si="0"/>
        <v>4.03</v>
      </c>
      <c r="P11">
        <v>1883</v>
      </c>
      <c r="Q11">
        <v>-0.95</v>
      </c>
      <c r="R11">
        <v>0.73</v>
      </c>
      <c r="S11">
        <v>-1.7</v>
      </c>
      <c r="T11">
        <v>1.53</v>
      </c>
      <c r="U11">
        <v>-7.0000000000000007E-2</v>
      </c>
      <c r="V11">
        <v>5.15</v>
      </c>
      <c r="W11">
        <v>7.39</v>
      </c>
      <c r="X11">
        <v>6.35</v>
      </c>
      <c r="Y11">
        <v>6.51</v>
      </c>
      <c r="Z11">
        <v>3.68</v>
      </c>
      <c r="AA11">
        <v>1.45</v>
      </c>
      <c r="AB11">
        <v>-0.08</v>
      </c>
      <c r="AC11">
        <v>2.5</v>
      </c>
    </row>
    <row r="12" spans="1:29" x14ac:dyDescent="0.2">
      <c r="A12">
        <v>404</v>
      </c>
      <c r="B12">
        <v>1884</v>
      </c>
      <c r="C12" s="1">
        <v>1.2</v>
      </c>
      <c r="D12" s="1">
        <v>1.1000000000000001</v>
      </c>
      <c r="E12" s="1">
        <v>1.1000000000000001</v>
      </c>
      <c r="F12" s="1">
        <v>2.6</v>
      </c>
      <c r="G12" s="1">
        <v>3</v>
      </c>
      <c r="H12" s="1">
        <v>6.1</v>
      </c>
      <c r="I12" s="1">
        <v>7.5</v>
      </c>
      <c r="J12" s="1">
        <v>8.3000000000000007</v>
      </c>
      <c r="K12" s="1">
        <v>7.6</v>
      </c>
      <c r="L12" s="1">
        <v>5.9</v>
      </c>
      <c r="M12" s="1">
        <v>3.2</v>
      </c>
      <c r="N12" s="1">
        <v>2.6</v>
      </c>
      <c r="O12" s="1">
        <f t="shared" si="0"/>
        <v>4.18</v>
      </c>
      <c r="P12">
        <v>1884</v>
      </c>
      <c r="Q12">
        <v>-2.65</v>
      </c>
      <c r="R12">
        <v>-0.32</v>
      </c>
      <c r="S12">
        <v>0.8</v>
      </c>
      <c r="T12">
        <v>1.08</v>
      </c>
      <c r="U12">
        <v>0.88</v>
      </c>
      <c r="V12">
        <v>6.8</v>
      </c>
      <c r="W12">
        <v>7.69</v>
      </c>
      <c r="X12">
        <v>8.85</v>
      </c>
      <c r="Y12">
        <v>6.91</v>
      </c>
      <c r="Z12">
        <v>2.4300000000000002</v>
      </c>
      <c r="AA12">
        <v>0.45</v>
      </c>
      <c r="AB12">
        <v>-0.08</v>
      </c>
      <c r="AC12">
        <v>2.74</v>
      </c>
    </row>
    <row r="13" spans="1:29" x14ac:dyDescent="0.2">
      <c r="A13">
        <v>404</v>
      </c>
      <c r="B13">
        <v>1885</v>
      </c>
      <c r="C13" s="1">
        <v>2.8</v>
      </c>
      <c r="D13" s="1">
        <v>0</v>
      </c>
      <c r="E13" s="1">
        <v>-0.4</v>
      </c>
      <c r="F13" s="1">
        <v>1</v>
      </c>
      <c r="G13" s="1">
        <v>2.2000000000000002</v>
      </c>
      <c r="H13" s="1">
        <v>3.3</v>
      </c>
      <c r="I13" s="1">
        <v>5.3</v>
      </c>
      <c r="J13" s="1">
        <v>7.2</v>
      </c>
      <c r="K13" s="1">
        <v>7.1</v>
      </c>
      <c r="L13" s="1">
        <v>4.3</v>
      </c>
      <c r="M13" s="1">
        <v>3.7</v>
      </c>
      <c r="N13" s="1">
        <v>0</v>
      </c>
      <c r="O13" s="1">
        <f t="shared" si="0"/>
        <v>3.04</v>
      </c>
      <c r="P13">
        <v>1885</v>
      </c>
      <c r="Q13">
        <v>1.25</v>
      </c>
      <c r="R13">
        <v>-7.12</v>
      </c>
      <c r="S13">
        <v>-4.3</v>
      </c>
      <c r="T13">
        <v>-1.47</v>
      </c>
      <c r="U13">
        <v>0.93</v>
      </c>
      <c r="V13">
        <v>4.3</v>
      </c>
      <c r="W13">
        <v>6.19</v>
      </c>
      <c r="X13">
        <v>7.75</v>
      </c>
      <c r="Y13">
        <v>5.76</v>
      </c>
      <c r="Z13">
        <v>1.38</v>
      </c>
      <c r="AA13">
        <v>0.15</v>
      </c>
      <c r="AB13">
        <v>-3.23</v>
      </c>
      <c r="AC13">
        <v>0.97</v>
      </c>
    </row>
    <row r="14" spans="1:29" x14ac:dyDescent="0.2">
      <c r="A14">
        <v>404</v>
      </c>
      <c r="B14">
        <v>1886</v>
      </c>
      <c r="C14" s="1">
        <v>-0.5</v>
      </c>
      <c r="D14" s="1">
        <v>-0.9</v>
      </c>
      <c r="E14" s="1">
        <v>-1.4</v>
      </c>
      <c r="F14" s="1">
        <v>-0.9</v>
      </c>
      <c r="G14" s="1">
        <v>0.3</v>
      </c>
      <c r="H14" s="1">
        <v>2.5</v>
      </c>
      <c r="I14" s="1">
        <v>4.8</v>
      </c>
      <c r="J14" s="1">
        <v>6.1</v>
      </c>
      <c r="K14" s="1">
        <v>6.1</v>
      </c>
      <c r="L14" s="1">
        <v>5.3</v>
      </c>
      <c r="M14" s="1">
        <v>4.4000000000000004</v>
      </c>
      <c r="N14" s="1">
        <v>3.4</v>
      </c>
      <c r="O14" s="1">
        <f t="shared" si="0"/>
        <v>2.4300000000000002</v>
      </c>
      <c r="P14">
        <v>1886</v>
      </c>
      <c r="Q14">
        <v>-6.45</v>
      </c>
      <c r="R14">
        <v>-3.02</v>
      </c>
      <c r="S14">
        <v>-4.0999999999999996</v>
      </c>
      <c r="T14">
        <v>-2.97</v>
      </c>
      <c r="U14">
        <v>-0.27</v>
      </c>
      <c r="V14">
        <v>3.3</v>
      </c>
      <c r="W14">
        <v>4.59</v>
      </c>
      <c r="X14">
        <v>5.45</v>
      </c>
      <c r="Y14">
        <v>5.01</v>
      </c>
      <c r="Z14">
        <v>4.53</v>
      </c>
      <c r="AA14">
        <v>1.2</v>
      </c>
      <c r="AB14">
        <v>-3.03</v>
      </c>
      <c r="AC14">
        <v>0.35</v>
      </c>
    </row>
    <row r="15" spans="1:29" x14ac:dyDescent="0.2">
      <c r="A15">
        <v>404</v>
      </c>
      <c r="B15">
        <v>1887</v>
      </c>
      <c r="C15" s="1">
        <v>2.6</v>
      </c>
      <c r="D15" s="1">
        <v>1</v>
      </c>
      <c r="E15" s="1">
        <v>1</v>
      </c>
      <c r="F15" s="1">
        <v>0.9</v>
      </c>
      <c r="G15" s="1">
        <v>2.2999999999999998</v>
      </c>
      <c r="H15" s="1">
        <v>2.6</v>
      </c>
      <c r="I15" s="1">
        <v>4</v>
      </c>
      <c r="J15" s="1">
        <v>5.5</v>
      </c>
      <c r="K15" s="1">
        <v>4.7</v>
      </c>
      <c r="L15" s="1">
        <v>4.5</v>
      </c>
      <c r="M15" s="1">
        <v>2.9</v>
      </c>
      <c r="N15" s="1">
        <v>1.9</v>
      </c>
      <c r="O15" s="1">
        <f t="shared" si="0"/>
        <v>2.83</v>
      </c>
      <c r="P15">
        <v>1887</v>
      </c>
      <c r="Q15">
        <v>0.2</v>
      </c>
      <c r="R15">
        <v>-2.0699999999999998</v>
      </c>
      <c r="S15">
        <v>-2.85</v>
      </c>
      <c r="T15">
        <v>-3.27</v>
      </c>
      <c r="U15">
        <v>0.93</v>
      </c>
      <c r="V15">
        <v>4</v>
      </c>
      <c r="W15">
        <v>3.74</v>
      </c>
      <c r="X15">
        <v>4.55</v>
      </c>
      <c r="Y15">
        <v>4.3099999999999996</v>
      </c>
      <c r="Z15">
        <v>1.43</v>
      </c>
      <c r="AA15">
        <v>-1.8</v>
      </c>
      <c r="AB15">
        <v>-2.83</v>
      </c>
      <c r="AC15">
        <v>0.53</v>
      </c>
    </row>
    <row r="16" spans="1:29" x14ac:dyDescent="0.2">
      <c r="A16">
        <v>404</v>
      </c>
      <c r="B16">
        <v>1888</v>
      </c>
      <c r="C16" s="1">
        <v>1.8</v>
      </c>
      <c r="D16" s="1">
        <v>-0.6</v>
      </c>
      <c r="E16" s="1">
        <v>-1.3</v>
      </c>
      <c r="F16" s="1">
        <v>0</v>
      </c>
      <c r="G16" s="1">
        <v>0</v>
      </c>
      <c r="H16" s="1">
        <v>1.8</v>
      </c>
      <c r="I16" s="1">
        <v>4.0999999999999996</v>
      </c>
      <c r="J16" s="1">
        <v>5.0999999999999996</v>
      </c>
      <c r="K16" s="1">
        <v>5.6</v>
      </c>
      <c r="L16" s="1">
        <v>4.0999999999999996</v>
      </c>
      <c r="M16" s="1">
        <v>4.5</v>
      </c>
      <c r="N16" s="1">
        <v>3.6</v>
      </c>
      <c r="O16" s="1">
        <f t="shared" si="0"/>
        <v>2.39</v>
      </c>
      <c r="P16">
        <v>1888</v>
      </c>
      <c r="Q16">
        <v>-0.85</v>
      </c>
      <c r="R16">
        <v>-3.17</v>
      </c>
      <c r="S16">
        <v>-8.15</v>
      </c>
      <c r="T16">
        <v>-2.82</v>
      </c>
      <c r="U16">
        <v>-0.67</v>
      </c>
      <c r="V16">
        <v>5</v>
      </c>
      <c r="W16">
        <v>4.54</v>
      </c>
      <c r="X16">
        <v>4.6500000000000004</v>
      </c>
      <c r="Y16">
        <v>5.1100000000000003</v>
      </c>
      <c r="Z16">
        <v>0.93</v>
      </c>
      <c r="AA16">
        <v>0.75</v>
      </c>
      <c r="AB16">
        <v>-0.03</v>
      </c>
      <c r="AC16">
        <v>0.44</v>
      </c>
    </row>
    <row r="17" spans="1:29" x14ac:dyDescent="0.2">
      <c r="A17">
        <v>404</v>
      </c>
      <c r="B17">
        <v>1889</v>
      </c>
      <c r="C17" s="1">
        <v>1.9</v>
      </c>
      <c r="D17" s="1">
        <v>-0.1</v>
      </c>
      <c r="E17" s="1">
        <v>1.7</v>
      </c>
      <c r="F17" s="1">
        <v>2.1</v>
      </c>
      <c r="G17" s="1">
        <v>4.3</v>
      </c>
      <c r="H17" s="1">
        <v>6.9</v>
      </c>
      <c r="I17" s="1">
        <v>9</v>
      </c>
      <c r="J17" s="1">
        <v>10.4</v>
      </c>
      <c r="K17" s="1">
        <v>8.1999999999999993</v>
      </c>
      <c r="L17" s="1">
        <v>6.4</v>
      </c>
      <c r="M17" s="1">
        <v>5.4</v>
      </c>
      <c r="N17" s="1">
        <v>4.2</v>
      </c>
      <c r="O17" s="1">
        <f t="shared" si="0"/>
        <v>5.03</v>
      </c>
      <c r="P17">
        <v>1889</v>
      </c>
      <c r="Q17">
        <v>-1.95</v>
      </c>
      <c r="R17">
        <v>-3.92</v>
      </c>
      <c r="S17">
        <v>-2.4</v>
      </c>
      <c r="T17">
        <v>-1.42</v>
      </c>
      <c r="U17">
        <v>5.03</v>
      </c>
      <c r="V17">
        <v>8.1</v>
      </c>
      <c r="W17">
        <v>9.2899999999999991</v>
      </c>
      <c r="X17">
        <v>9.25</v>
      </c>
      <c r="Y17">
        <v>7.41</v>
      </c>
      <c r="Z17">
        <v>4.63</v>
      </c>
      <c r="AA17">
        <v>2.7</v>
      </c>
      <c r="AB17">
        <v>0.22</v>
      </c>
      <c r="AC17">
        <v>3.08</v>
      </c>
    </row>
    <row r="18" spans="1:29" x14ac:dyDescent="0.2">
      <c r="A18">
        <v>404</v>
      </c>
      <c r="B18">
        <v>1890</v>
      </c>
      <c r="C18" s="1">
        <v>2</v>
      </c>
      <c r="D18" s="1">
        <v>1.7</v>
      </c>
      <c r="E18" s="1">
        <v>0.4</v>
      </c>
      <c r="F18" s="1">
        <v>1.6</v>
      </c>
      <c r="G18" s="1">
        <v>3.1</v>
      </c>
      <c r="H18" s="1">
        <v>4.2</v>
      </c>
      <c r="I18" s="1">
        <v>6.3</v>
      </c>
      <c r="J18" s="1">
        <v>7.4</v>
      </c>
      <c r="K18" s="1">
        <v>6.7</v>
      </c>
      <c r="L18" s="1">
        <v>5</v>
      </c>
      <c r="M18" s="1">
        <v>3.8</v>
      </c>
      <c r="N18" s="1">
        <v>2.5</v>
      </c>
      <c r="O18" s="1">
        <f t="shared" si="0"/>
        <v>3.73</v>
      </c>
      <c r="P18">
        <v>1890</v>
      </c>
      <c r="Q18">
        <v>-0.55000000000000004</v>
      </c>
      <c r="R18">
        <v>0.93</v>
      </c>
      <c r="S18">
        <v>-4.5</v>
      </c>
      <c r="T18">
        <v>0.38</v>
      </c>
      <c r="U18">
        <v>3.28</v>
      </c>
      <c r="V18">
        <v>4.3</v>
      </c>
      <c r="W18">
        <v>6.34</v>
      </c>
      <c r="X18">
        <v>7.1</v>
      </c>
      <c r="Y18">
        <v>5.46</v>
      </c>
      <c r="Z18">
        <v>1.78</v>
      </c>
      <c r="AA18">
        <v>1.6</v>
      </c>
      <c r="AB18">
        <v>1.72</v>
      </c>
      <c r="AC18">
        <v>2.3199999999999998</v>
      </c>
    </row>
    <row r="19" spans="1:29" x14ac:dyDescent="0.2">
      <c r="A19">
        <v>404</v>
      </c>
      <c r="B19">
        <v>1891</v>
      </c>
      <c r="C19" s="1">
        <v>1.8</v>
      </c>
      <c r="D19" s="1">
        <v>1.7</v>
      </c>
      <c r="E19" s="1">
        <v>-0.5</v>
      </c>
      <c r="F19" s="1">
        <v>1.3</v>
      </c>
      <c r="G19" s="1">
        <v>1</v>
      </c>
      <c r="H19" s="1">
        <v>4.3</v>
      </c>
      <c r="I19" s="1">
        <v>7.3</v>
      </c>
      <c r="J19" s="1">
        <v>8.1</v>
      </c>
      <c r="K19" s="1">
        <v>6.3</v>
      </c>
      <c r="L19" s="1">
        <v>5.5</v>
      </c>
      <c r="M19" s="1">
        <v>4.3</v>
      </c>
      <c r="N19" s="1">
        <v>2.6</v>
      </c>
      <c r="O19" s="1">
        <f t="shared" si="0"/>
        <v>3.64</v>
      </c>
      <c r="P19">
        <v>1891</v>
      </c>
      <c r="Q19">
        <v>-1.5</v>
      </c>
      <c r="R19">
        <v>-0.37</v>
      </c>
      <c r="S19">
        <v>-7.05</v>
      </c>
      <c r="T19">
        <v>-0.52</v>
      </c>
      <c r="U19">
        <v>0.93</v>
      </c>
      <c r="V19">
        <v>6.1</v>
      </c>
      <c r="W19">
        <v>8.0399999999999991</v>
      </c>
      <c r="X19">
        <v>6.3</v>
      </c>
      <c r="Y19">
        <v>5.36</v>
      </c>
      <c r="Z19">
        <v>4.68</v>
      </c>
      <c r="AA19">
        <v>0</v>
      </c>
      <c r="AB19">
        <v>-0.63</v>
      </c>
      <c r="AC19">
        <v>1.78</v>
      </c>
    </row>
    <row r="20" spans="1:29" x14ac:dyDescent="0.2">
      <c r="A20">
        <v>404</v>
      </c>
      <c r="B20">
        <v>1892</v>
      </c>
      <c r="C20" s="1">
        <v>1.1000000000000001</v>
      </c>
      <c r="D20" s="1">
        <v>-1.4</v>
      </c>
      <c r="E20" s="1">
        <v>-0.9</v>
      </c>
      <c r="F20" s="1">
        <v>-1.5</v>
      </c>
      <c r="G20" s="1">
        <v>-0.1</v>
      </c>
      <c r="H20" s="1">
        <v>1.7</v>
      </c>
      <c r="I20" s="1">
        <v>4</v>
      </c>
      <c r="J20" s="1">
        <v>6.3</v>
      </c>
      <c r="K20" s="1">
        <v>5.4</v>
      </c>
      <c r="L20" s="1">
        <v>4.0999999999999996</v>
      </c>
      <c r="M20" s="1">
        <v>3.4</v>
      </c>
      <c r="N20" s="1">
        <v>2</v>
      </c>
      <c r="O20" s="1">
        <f t="shared" si="0"/>
        <v>2.0099999999999998</v>
      </c>
      <c r="P20">
        <v>1892</v>
      </c>
      <c r="Q20">
        <v>-3.75</v>
      </c>
      <c r="R20">
        <v>-6.67</v>
      </c>
      <c r="S20">
        <v>-6.3</v>
      </c>
      <c r="T20">
        <v>-3.77</v>
      </c>
      <c r="U20">
        <v>-0.72</v>
      </c>
      <c r="V20">
        <v>2.2999999999999998</v>
      </c>
      <c r="W20">
        <v>5.19</v>
      </c>
      <c r="X20">
        <v>5.4</v>
      </c>
      <c r="Y20">
        <v>3.81</v>
      </c>
      <c r="Z20">
        <v>1.93</v>
      </c>
      <c r="AA20">
        <v>-0.5</v>
      </c>
      <c r="AB20">
        <v>-3.18</v>
      </c>
      <c r="AC20">
        <v>-0.52</v>
      </c>
    </row>
    <row r="21" spans="1:29" x14ac:dyDescent="0.2">
      <c r="A21">
        <v>404</v>
      </c>
      <c r="B21">
        <v>1893</v>
      </c>
      <c r="C21" s="1">
        <v>0.9</v>
      </c>
      <c r="D21" s="1">
        <v>0.6</v>
      </c>
      <c r="E21" s="1">
        <v>1.3</v>
      </c>
      <c r="F21" s="1">
        <v>1.8</v>
      </c>
      <c r="G21" s="1">
        <v>3.4</v>
      </c>
      <c r="H21" s="1">
        <v>4.5999999999999996</v>
      </c>
      <c r="I21" s="1">
        <v>7.7</v>
      </c>
      <c r="J21" s="1">
        <v>8.3000000000000007</v>
      </c>
      <c r="K21" s="1">
        <v>5.7</v>
      </c>
      <c r="L21" s="1">
        <v>4.2</v>
      </c>
      <c r="M21" s="1">
        <v>0.8</v>
      </c>
      <c r="N21" s="1">
        <v>0.4</v>
      </c>
      <c r="O21" s="1">
        <f t="shared" si="0"/>
        <v>3.31</v>
      </c>
      <c r="P21">
        <v>1893</v>
      </c>
      <c r="Q21">
        <v>-1</v>
      </c>
      <c r="R21">
        <v>-2.4700000000000002</v>
      </c>
      <c r="S21">
        <v>-1.8</v>
      </c>
      <c r="T21">
        <v>1.03</v>
      </c>
      <c r="U21">
        <v>3.63</v>
      </c>
      <c r="V21">
        <v>5.7</v>
      </c>
      <c r="W21">
        <v>8.09</v>
      </c>
      <c r="X21">
        <v>7.55</v>
      </c>
      <c r="Y21">
        <v>3.86</v>
      </c>
      <c r="Z21">
        <v>0.28000000000000003</v>
      </c>
      <c r="AA21">
        <v>-2.75</v>
      </c>
      <c r="AB21">
        <v>-2.08</v>
      </c>
      <c r="AC21">
        <v>1.67</v>
      </c>
    </row>
    <row r="22" spans="1:29" x14ac:dyDescent="0.2">
      <c r="A22">
        <v>404</v>
      </c>
      <c r="B22">
        <v>1894</v>
      </c>
      <c r="C22" s="1">
        <v>1</v>
      </c>
      <c r="D22" s="1">
        <v>0.1</v>
      </c>
      <c r="E22" s="1">
        <v>0</v>
      </c>
      <c r="F22" s="1">
        <v>1.5</v>
      </c>
      <c r="G22" s="1">
        <v>2.2000000000000002</v>
      </c>
      <c r="H22" s="1">
        <v>5.9</v>
      </c>
      <c r="I22" s="1">
        <v>8.1999999999999993</v>
      </c>
      <c r="J22" s="1">
        <v>9.6</v>
      </c>
      <c r="K22" s="1">
        <v>9.3000000000000007</v>
      </c>
      <c r="L22" s="1">
        <v>6.4</v>
      </c>
      <c r="M22" s="1">
        <v>3.6</v>
      </c>
      <c r="N22" s="1">
        <v>2.1</v>
      </c>
      <c r="O22" s="1">
        <f t="shared" si="0"/>
        <v>4.16</v>
      </c>
      <c r="P22">
        <v>1894</v>
      </c>
      <c r="Q22">
        <v>-3.25</v>
      </c>
      <c r="R22">
        <v>-2.92</v>
      </c>
      <c r="S22">
        <v>-1</v>
      </c>
      <c r="T22">
        <v>1.63</v>
      </c>
      <c r="U22">
        <v>1.73</v>
      </c>
      <c r="V22">
        <v>8.15</v>
      </c>
      <c r="W22">
        <v>9.89</v>
      </c>
      <c r="X22">
        <v>9.0500000000000007</v>
      </c>
      <c r="Y22">
        <v>8.26</v>
      </c>
      <c r="Z22">
        <v>2.5299999999999998</v>
      </c>
      <c r="AA22">
        <v>1.1499999999999999</v>
      </c>
      <c r="AB22">
        <v>-2.23</v>
      </c>
      <c r="AC22">
        <v>2.75</v>
      </c>
    </row>
    <row r="23" spans="1:29" x14ac:dyDescent="0.2">
      <c r="A23">
        <v>404</v>
      </c>
      <c r="B23">
        <v>1895</v>
      </c>
      <c r="C23" s="1">
        <v>1.3</v>
      </c>
      <c r="D23" s="1">
        <v>1.3</v>
      </c>
      <c r="E23" s="2">
        <v>1.1000000000000001</v>
      </c>
      <c r="F23" s="1">
        <v>0.8</v>
      </c>
      <c r="G23" s="1">
        <v>2.8</v>
      </c>
      <c r="H23" s="1">
        <v>6.4</v>
      </c>
      <c r="I23" s="1">
        <v>8</v>
      </c>
      <c r="J23" s="1">
        <v>7.9</v>
      </c>
      <c r="K23" s="2">
        <f>ROUND((AN21+AN22+AN24+AN25)/4+Y23,1)</f>
        <v>6.8</v>
      </c>
      <c r="L23" s="2">
        <f>ROUND((AO21+AO22+AO24+AO25)/4+Z23,1)</f>
        <v>1.1000000000000001</v>
      </c>
      <c r="M23" s="2">
        <f t="shared" ref="M23:N23" si="1">ROUND((AP21+AP22+AP24+AP25)/4+AA23,1)</f>
        <v>0.3</v>
      </c>
      <c r="N23" s="2">
        <f t="shared" si="1"/>
        <v>-1.9</v>
      </c>
      <c r="O23" s="1">
        <f t="shared" si="0"/>
        <v>2.99</v>
      </c>
      <c r="P23">
        <v>1895</v>
      </c>
      <c r="Q23">
        <v>-3.55</v>
      </c>
      <c r="R23">
        <v>-0.32</v>
      </c>
      <c r="S23">
        <v>-2.95</v>
      </c>
      <c r="T23">
        <v>-3.97</v>
      </c>
      <c r="U23">
        <v>3.58</v>
      </c>
      <c r="V23">
        <v>6.6</v>
      </c>
      <c r="W23">
        <v>6.99</v>
      </c>
      <c r="X23">
        <v>6.75</v>
      </c>
      <c r="Y23">
        <v>6.75</v>
      </c>
      <c r="Z23">
        <v>1.1000000000000001</v>
      </c>
      <c r="AA23">
        <v>0.32</v>
      </c>
      <c r="AB23">
        <v>-1.91</v>
      </c>
      <c r="AC23">
        <v>1.62</v>
      </c>
    </row>
    <row r="24" spans="1:29" x14ac:dyDescent="0.2">
      <c r="A24">
        <v>404</v>
      </c>
      <c r="B24">
        <v>1896</v>
      </c>
      <c r="C24" s="2">
        <f>ROUND((AF22+AF23+AF25+AF26)/4+Q24,1)</f>
        <v>-1.6</v>
      </c>
      <c r="D24" s="2">
        <f>ROUND((AG22+AG23+AG25+AG26)/4+R24,1)</f>
        <v>0.2</v>
      </c>
      <c r="E24" s="2">
        <v>0.25</v>
      </c>
      <c r="F24" s="2">
        <f>ROUND((AI22+AI23+AI25+AI26)/4+T24,1)</f>
        <v>-0.9</v>
      </c>
      <c r="G24" s="2">
        <f>ROUND((AJ22+AJ23+AJ25+AJ26)/4+U24,1)</f>
        <v>4.4000000000000004</v>
      </c>
      <c r="H24" s="1">
        <v>3.3</v>
      </c>
      <c r="I24" s="1">
        <v>6.1</v>
      </c>
      <c r="J24" s="1">
        <v>7</v>
      </c>
      <c r="K24" s="1">
        <v>7.1</v>
      </c>
      <c r="L24" s="1">
        <v>3.9</v>
      </c>
      <c r="M24" s="1">
        <v>1.8</v>
      </c>
      <c r="N24" s="1">
        <v>0</v>
      </c>
      <c r="O24" s="1">
        <f t="shared" si="0"/>
        <v>2.63</v>
      </c>
      <c r="P24">
        <v>1896</v>
      </c>
      <c r="Q24">
        <v>-1.58</v>
      </c>
      <c r="R24">
        <v>0.16</v>
      </c>
      <c r="S24">
        <v>-4.75</v>
      </c>
      <c r="T24">
        <v>-0.93</v>
      </c>
      <c r="U24">
        <v>4.4400000000000004</v>
      </c>
      <c r="V24">
        <v>3.65</v>
      </c>
      <c r="W24">
        <v>6.79</v>
      </c>
      <c r="X24">
        <v>6.45</v>
      </c>
      <c r="Y24">
        <v>4.5599999999999996</v>
      </c>
      <c r="Z24">
        <v>-0.27</v>
      </c>
      <c r="AA24">
        <v>-0.6</v>
      </c>
      <c r="AB24">
        <v>0.17</v>
      </c>
      <c r="AC24">
        <v>1.51</v>
      </c>
    </row>
    <row r="25" spans="1:29" x14ac:dyDescent="0.2">
      <c r="A25">
        <v>404</v>
      </c>
      <c r="B25">
        <v>1897</v>
      </c>
      <c r="C25" s="1">
        <v>1.4</v>
      </c>
      <c r="D25" s="2">
        <v>0.5</v>
      </c>
      <c r="E25" s="2">
        <v>2.4</v>
      </c>
      <c r="F25" s="1">
        <v>2.2000000000000002</v>
      </c>
      <c r="G25" s="1">
        <v>2.8</v>
      </c>
      <c r="H25" s="1">
        <v>3.7</v>
      </c>
      <c r="I25" s="1">
        <v>6.5</v>
      </c>
      <c r="J25" s="1">
        <v>7.1</v>
      </c>
      <c r="K25" s="1">
        <v>5.0999999999999996</v>
      </c>
      <c r="L25" s="1">
        <v>3.9</v>
      </c>
      <c r="M25" s="1">
        <v>3.1</v>
      </c>
      <c r="N25" s="1">
        <v>3.1</v>
      </c>
      <c r="O25" s="1">
        <f t="shared" si="0"/>
        <v>3.48</v>
      </c>
      <c r="P25">
        <v>1897</v>
      </c>
      <c r="Q25">
        <v>-0.95</v>
      </c>
      <c r="R25">
        <v>-3.67</v>
      </c>
      <c r="S25">
        <v>-1.6</v>
      </c>
      <c r="T25">
        <v>1.08</v>
      </c>
      <c r="U25">
        <v>2.33</v>
      </c>
      <c r="V25">
        <v>4.9000000000000004</v>
      </c>
      <c r="W25">
        <v>7.99</v>
      </c>
      <c r="X25">
        <v>6.1</v>
      </c>
      <c r="Y25">
        <v>4.21</v>
      </c>
      <c r="Z25">
        <v>3.13</v>
      </c>
      <c r="AA25">
        <v>-0.75</v>
      </c>
      <c r="AB25">
        <v>0.42</v>
      </c>
      <c r="AC25">
        <v>1.93</v>
      </c>
    </row>
    <row r="26" spans="1:29" x14ac:dyDescent="0.2">
      <c r="A26">
        <v>404</v>
      </c>
      <c r="B26">
        <v>1898</v>
      </c>
      <c r="C26" s="1">
        <v>2.5</v>
      </c>
      <c r="D26" s="1">
        <v>1.3</v>
      </c>
      <c r="E26" s="1">
        <v>1.6</v>
      </c>
      <c r="F26" s="1">
        <v>3</v>
      </c>
      <c r="G26" s="1">
        <v>4.4000000000000004</v>
      </c>
      <c r="H26" s="1">
        <v>4.5999999999999996</v>
      </c>
      <c r="I26" s="1">
        <v>7.3</v>
      </c>
      <c r="J26" s="1">
        <v>8</v>
      </c>
      <c r="K26" s="1">
        <v>7.1</v>
      </c>
      <c r="L26" s="1">
        <v>5.4</v>
      </c>
      <c r="M26" s="1">
        <v>4.2</v>
      </c>
      <c r="N26" s="1">
        <v>2.7</v>
      </c>
      <c r="O26" s="1">
        <f t="shared" si="0"/>
        <v>4.34</v>
      </c>
      <c r="P26">
        <v>1898</v>
      </c>
      <c r="Q26">
        <v>-1.35</v>
      </c>
      <c r="R26">
        <v>-3.47</v>
      </c>
      <c r="S26">
        <v>-2.7</v>
      </c>
      <c r="T26">
        <v>0.33</v>
      </c>
      <c r="U26">
        <v>1.83</v>
      </c>
      <c r="V26">
        <v>6.35</v>
      </c>
      <c r="W26">
        <v>7.39</v>
      </c>
      <c r="X26">
        <v>6.85</v>
      </c>
      <c r="Y26">
        <v>5.91</v>
      </c>
      <c r="Z26">
        <v>4.08</v>
      </c>
      <c r="AA26">
        <v>-0.1</v>
      </c>
      <c r="AB26">
        <v>-1.43</v>
      </c>
      <c r="AC26">
        <v>1.97</v>
      </c>
    </row>
    <row r="27" spans="1:29" x14ac:dyDescent="0.2">
      <c r="A27">
        <v>404</v>
      </c>
      <c r="B27">
        <v>1899</v>
      </c>
      <c r="C27" s="1">
        <v>2</v>
      </c>
      <c r="D27" s="1">
        <v>1.5</v>
      </c>
      <c r="E27" s="1">
        <v>0.6</v>
      </c>
      <c r="F27" s="1">
        <v>1.6</v>
      </c>
      <c r="G27" s="1">
        <v>3.1</v>
      </c>
      <c r="H27" s="1">
        <v>5.6</v>
      </c>
      <c r="I27" s="1">
        <v>8.8000000000000007</v>
      </c>
      <c r="J27" s="1">
        <v>9.1999999999999993</v>
      </c>
      <c r="K27" s="1">
        <v>7.4</v>
      </c>
      <c r="L27" s="1">
        <v>5.2</v>
      </c>
      <c r="M27" s="1">
        <v>3</v>
      </c>
      <c r="N27" s="1">
        <v>2.8</v>
      </c>
      <c r="O27" s="1">
        <f t="shared" si="0"/>
        <v>4.2300000000000004</v>
      </c>
      <c r="P27">
        <v>1899</v>
      </c>
      <c r="Q27">
        <v>-2.1</v>
      </c>
      <c r="R27">
        <v>-1.47</v>
      </c>
      <c r="S27">
        <v>-5.45</v>
      </c>
      <c r="T27">
        <v>-2.97</v>
      </c>
      <c r="U27">
        <v>2.48</v>
      </c>
      <c r="V27">
        <v>7.2</v>
      </c>
      <c r="W27">
        <v>9.14</v>
      </c>
      <c r="X27">
        <v>9.0500000000000007</v>
      </c>
      <c r="Y27">
        <v>4.5599999999999996</v>
      </c>
      <c r="Z27">
        <v>0.83</v>
      </c>
      <c r="AA27">
        <v>-2.4500000000000002</v>
      </c>
      <c r="AB27">
        <v>-0.83</v>
      </c>
      <c r="AC27">
        <v>1.5</v>
      </c>
    </row>
    <row r="28" spans="1:29" x14ac:dyDescent="0.2">
      <c r="A28">
        <v>404</v>
      </c>
      <c r="B28">
        <v>1900</v>
      </c>
      <c r="C28" s="1">
        <v>1.4</v>
      </c>
      <c r="D28" s="1">
        <v>0.2</v>
      </c>
      <c r="E28" s="1">
        <v>0.1</v>
      </c>
      <c r="F28" s="1">
        <v>1.9</v>
      </c>
      <c r="G28" s="1">
        <v>4</v>
      </c>
      <c r="H28" s="1">
        <v>6.6</v>
      </c>
      <c r="I28" s="1">
        <v>8</v>
      </c>
      <c r="J28" s="1">
        <v>8.6</v>
      </c>
      <c r="K28" s="1">
        <v>7.3</v>
      </c>
      <c r="L28" s="1">
        <v>5.7</v>
      </c>
      <c r="M28" s="1">
        <v>4.4000000000000004</v>
      </c>
      <c r="N28" s="1">
        <v>4.0999999999999996</v>
      </c>
      <c r="O28" s="1">
        <f t="shared" si="0"/>
        <v>4.3600000000000003</v>
      </c>
      <c r="P28">
        <v>1900</v>
      </c>
      <c r="Q28">
        <v>-0.1</v>
      </c>
      <c r="R28">
        <v>-3.17</v>
      </c>
      <c r="S28">
        <v>-2.6</v>
      </c>
      <c r="T28">
        <v>-0.82</v>
      </c>
      <c r="U28">
        <v>1.73</v>
      </c>
      <c r="V28">
        <v>6.9</v>
      </c>
      <c r="W28">
        <v>7.54</v>
      </c>
      <c r="X28">
        <v>8.1</v>
      </c>
      <c r="Y28">
        <v>6.66</v>
      </c>
      <c r="Z28">
        <v>1.33</v>
      </c>
      <c r="AA28">
        <v>1.1000000000000001</v>
      </c>
      <c r="AB28">
        <v>-0.63</v>
      </c>
      <c r="AC28">
        <v>2.17</v>
      </c>
    </row>
    <row r="29" spans="1:29" x14ac:dyDescent="0.2">
      <c r="A29">
        <v>404</v>
      </c>
      <c r="B29">
        <v>1901</v>
      </c>
      <c r="C29" s="1">
        <v>3</v>
      </c>
      <c r="D29" s="1">
        <v>0.5</v>
      </c>
      <c r="E29" s="1">
        <v>0.3</v>
      </c>
      <c r="F29" s="1">
        <v>0</v>
      </c>
      <c r="G29" s="1">
        <v>2.1</v>
      </c>
      <c r="H29" s="1">
        <v>4.2</v>
      </c>
      <c r="I29" s="1">
        <v>7.9</v>
      </c>
      <c r="J29" s="1">
        <v>8.1999999999999993</v>
      </c>
      <c r="K29" s="1">
        <v>8</v>
      </c>
      <c r="L29" s="1">
        <v>4.8</v>
      </c>
      <c r="M29" s="1">
        <v>3.2</v>
      </c>
      <c r="N29" s="1">
        <v>0.9</v>
      </c>
      <c r="O29" s="1">
        <f t="shared" si="0"/>
        <v>3.59</v>
      </c>
      <c r="P29">
        <v>1901</v>
      </c>
      <c r="Q29">
        <v>0.15</v>
      </c>
      <c r="R29">
        <v>-1.67</v>
      </c>
      <c r="S29">
        <v>-2.0499999999999998</v>
      </c>
      <c r="T29">
        <v>-2.77</v>
      </c>
      <c r="U29">
        <v>3.38</v>
      </c>
      <c r="V29">
        <v>5.95</v>
      </c>
      <c r="W29">
        <v>8.59</v>
      </c>
      <c r="X29">
        <v>7.75</v>
      </c>
      <c r="Y29">
        <v>7.76</v>
      </c>
      <c r="Z29">
        <v>1.1299999999999999</v>
      </c>
      <c r="AA29">
        <v>-0.05</v>
      </c>
      <c r="AB29">
        <v>-2.73</v>
      </c>
      <c r="AC29">
        <v>2.12</v>
      </c>
    </row>
    <row r="30" spans="1:29" x14ac:dyDescent="0.2">
      <c r="A30">
        <v>404</v>
      </c>
      <c r="B30">
        <v>1902</v>
      </c>
      <c r="C30" s="1">
        <v>-1.5</v>
      </c>
      <c r="D30" s="1">
        <v>-2.1</v>
      </c>
      <c r="E30" s="1">
        <v>-1.5</v>
      </c>
      <c r="F30" s="1">
        <v>-1.1000000000000001</v>
      </c>
      <c r="G30" s="1">
        <v>0.5</v>
      </c>
      <c r="H30" s="1">
        <v>2.7</v>
      </c>
      <c r="I30" s="1">
        <v>4.3</v>
      </c>
      <c r="J30" s="1">
        <v>4.5999999999999996</v>
      </c>
      <c r="K30" s="1">
        <v>5.6</v>
      </c>
      <c r="L30" s="1">
        <v>4.9000000000000004</v>
      </c>
      <c r="M30" s="1">
        <v>4.0999999999999996</v>
      </c>
      <c r="N30" s="1">
        <v>2.6</v>
      </c>
      <c r="O30" s="1">
        <f t="shared" si="0"/>
        <v>1.93</v>
      </c>
      <c r="P30">
        <v>1902</v>
      </c>
      <c r="Q30">
        <v>-6.9</v>
      </c>
      <c r="R30">
        <v>-6.92</v>
      </c>
      <c r="S30">
        <v>-6.05</v>
      </c>
      <c r="T30">
        <v>-2.57</v>
      </c>
      <c r="U30">
        <v>0.13</v>
      </c>
      <c r="V30">
        <v>3.45</v>
      </c>
      <c r="W30">
        <v>5.14</v>
      </c>
      <c r="X30">
        <v>5.95</v>
      </c>
      <c r="Y30">
        <v>5.81</v>
      </c>
      <c r="Z30">
        <v>3.73</v>
      </c>
      <c r="AA30">
        <v>1.75</v>
      </c>
      <c r="AB30">
        <v>0.32</v>
      </c>
      <c r="AC30">
        <v>0.32</v>
      </c>
    </row>
    <row r="31" spans="1:29" x14ac:dyDescent="0.2">
      <c r="A31">
        <v>404</v>
      </c>
      <c r="B31">
        <v>1903</v>
      </c>
      <c r="C31" s="1">
        <v>1.1000000000000001</v>
      </c>
      <c r="D31" s="1">
        <v>1</v>
      </c>
      <c r="E31" s="1">
        <v>-0.6</v>
      </c>
      <c r="F31" s="1">
        <v>0.1</v>
      </c>
      <c r="G31" s="1">
        <v>1.2</v>
      </c>
      <c r="H31" s="1">
        <v>2.7</v>
      </c>
      <c r="I31" s="1">
        <v>4.2</v>
      </c>
      <c r="J31" s="1">
        <v>4.5</v>
      </c>
      <c r="K31" s="1">
        <v>5</v>
      </c>
      <c r="L31" s="1">
        <v>4.5999999999999996</v>
      </c>
      <c r="M31" s="1">
        <v>3.5</v>
      </c>
      <c r="N31" s="1">
        <v>2.1</v>
      </c>
      <c r="O31" s="1">
        <f t="shared" si="0"/>
        <v>2.4500000000000002</v>
      </c>
      <c r="P31">
        <v>1903</v>
      </c>
      <c r="Q31">
        <v>-2.15</v>
      </c>
      <c r="R31">
        <v>-3.07</v>
      </c>
      <c r="S31">
        <v>-3.7</v>
      </c>
      <c r="T31">
        <v>-2.27</v>
      </c>
      <c r="U31">
        <v>1.53</v>
      </c>
      <c r="V31">
        <v>4.95</v>
      </c>
      <c r="W31">
        <v>6.59</v>
      </c>
      <c r="X31">
        <v>4.3499999999999996</v>
      </c>
      <c r="Y31">
        <v>5.16</v>
      </c>
      <c r="Z31">
        <v>2.2799999999999998</v>
      </c>
      <c r="AA31">
        <v>-0.8</v>
      </c>
      <c r="AB31">
        <v>7.0000000000000007E-2</v>
      </c>
      <c r="AC31">
        <v>1.08</v>
      </c>
    </row>
    <row r="32" spans="1:29" x14ac:dyDescent="0.2">
      <c r="A32">
        <v>404</v>
      </c>
      <c r="B32">
        <v>1904</v>
      </c>
      <c r="C32" s="1">
        <v>1.8</v>
      </c>
      <c r="D32" s="1">
        <v>0.4</v>
      </c>
      <c r="E32" s="1">
        <v>0.4</v>
      </c>
      <c r="F32" s="1">
        <v>1.1000000000000001</v>
      </c>
      <c r="G32" s="1">
        <v>3.5</v>
      </c>
      <c r="H32" s="1">
        <v>6.8</v>
      </c>
      <c r="I32" s="1">
        <v>8.1</v>
      </c>
      <c r="J32" s="1">
        <v>7.3</v>
      </c>
      <c r="K32" s="1">
        <v>7.3</v>
      </c>
      <c r="L32" s="1">
        <v>5.5</v>
      </c>
      <c r="M32" s="1">
        <v>3.4</v>
      </c>
      <c r="N32" s="1">
        <v>2.4</v>
      </c>
      <c r="O32" s="1">
        <f t="shared" si="0"/>
        <v>4</v>
      </c>
      <c r="P32">
        <v>1904</v>
      </c>
      <c r="Q32">
        <v>-2.1</v>
      </c>
      <c r="R32">
        <v>-1.57</v>
      </c>
      <c r="S32">
        <v>-1.9</v>
      </c>
      <c r="T32">
        <v>-0.77</v>
      </c>
      <c r="U32">
        <v>2.78</v>
      </c>
      <c r="V32">
        <v>6.95</v>
      </c>
      <c r="W32">
        <v>8.89</v>
      </c>
      <c r="X32">
        <v>6.9</v>
      </c>
      <c r="Y32">
        <v>7.41</v>
      </c>
      <c r="Z32">
        <v>1.48</v>
      </c>
      <c r="AA32">
        <v>-1.4</v>
      </c>
      <c r="AB32">
        <v>-1.38</v>
      </c>
      <c r="AC32">
        <v>2.11</v>
      </c>
    </row>
    <row r="33" spans="1:29" x14ac:dyDescent="0.2">
      <c r="A33">
        <v>404</v>
      </c>
      <c r="B33">
        <v>1905</v>
      </c>
      <c r="C33" s="1">
        <v>1.3</v>
      </c>
      <c r="D33" s="1">
        <v>0.2</v>
      </c>
      <c r="E33" s="1">
        <v>1.2</v>
      </c>
      <c r="F33" s="1">
        <v>1.4</v>
      </c>
      <c r="G33" s="1">
        <v>4.3</v>
      </c>
      <c r="H33" s="1">
        <v>6.5</v>
      </c>
      <c r="I33" s="1">
        <v>7.8</v>
      </c>
      <c r="J33" s="1">
        <v>6.6</v>
      </c>
      <c r="K33" s="1">
        <v>5.3</v>
      </c>
      <c r="L33" s="1">
        <v>4.5</v>
      </c>
      <c r="M33" s="1">
        <v>3.5</v>
      </c>
      <c r="N33" s="1">
        <v>3.1</v>
      </c>
      <c r="O33" s="1">
        <f t="shared" si="0"/>
        <v>3.81</v>
      </c>
      <c r="P33">
        <v>1905</v>
      </c>
      <c r="Q33">
        <v>-3.15</v>
      </c>
      <c r="R33">
        <v>-3.92</v>
      </c>
      <c r="S33">
        <v>-0.05</v>
      </c>
      <c r="T33">
        <v>-1.42</v>
      </c>
      <c r="U33">
        <v>2.5299999999999998</v>
      </c>
      <c r="V33">
        <v>8.0500000000000007</v>
      </c>
      <c r="W33">
        <v>7.29</v>
      </c>
      <c r="X33">
        <v>6.4</v>
      </c>
      <c r="Y33">
        <v>5.01</v>
      </c>
      <c r="Z33">
        <v>1.1299999999999999</v>
      </c>
      <c r="AA33">
        <v>-0.05</v>
      </c>
      <c r="AB33">
        <v>0.22</v>
      </c>
      <c r="AC33">
        <v>1.84</v>
      </c>
    </row>
    <row r="34" spans="1:29" x14ac:dyDescent="0.2">
      <c r="A34">
        <v>404</v>
      </c>
      <c r="B34">
        <v>1906</v>
      </c>
      <c r="C34" s="1">
        <v>1.9</v>
      </c>
      <c r="D34" s="1">
        <v>1.1000000000000001</v>
      </c>
      <c r="E34" s="1">
        <v>0.4</v>
      </c>
      <c r="F34" s="1">
        <v>0.2</v>
      </c>
      <c r="G34" s="1">
        <v>-0.4</v>
      </c>
      <c r="H34" s="1">
        <v>0.3</v>
      </c>
      <c r="I34" s="1">
        <v>3.2</v>
      </c>
      <c r="J34" s="1">
        <v>7.9</v>
      </c>
      <c r="K34" s="1">
        <v>6.1</v>
      </c>
      <c r="L34" s="1">
        <v>4.9000000000000004</v>
      </c>
      <c r="M34" s="1">
        <v>2.9</v>
      </c>
      <c r="N34" s="1">
        <v>1.1000000000000001</v>
      </c>
      <c r="O34" s="1">
        <f t="shared" si="0"/>
        <v>2.4700000000000002</v>
      </c>
      <c r="P34">
        <v>1906</v>
      </c>
      <c r="Q34">
        <v>-0.25</v>
      </c>
      <c r="R34">
        <v>-3.22</v>
      </c>
      <c r="S34">
        <v>-1.85</v>
      </c>
      <c r="T34">
        <v>-1.42</v>
      </c>
      <c r="U34">
        <v>-0.72</v>
      </c>
      <c r="V34">
        <v>6.05</v>
      </c>
      <c r="W34">
        <v>5.04</v>
      </c>
      <c r="X34">
        <v>5.7</v>
      </c>
      <c r="Y34">
        <v>6.11</v>
      </c>
      <c r="Z34">
        <v>2.93</v>
      </c>
      <c r="AA34">
        <v>0.1</v>
      </c>
      <c r="AB34">
        <v>-3.28</v>
      </c>
      <c r="AC34">
        <v>1.27</v>
      </c>
    </row>
    <row r="35" spans="1:29" x14ac:dyDescent="0.2">
      <c r="A35">
        <v>404</v>
      </c>
      <c r="B35">
        <v>1907</v>
      </c>
      <c r="C35" s="1">
        <v>0.1</v>
      </c>
      <c r="D35" s="1">
        <v>-0.4</v>
      </c>
      <c r="E35" s="1">
        <v>-0.7</v>
      </c>
      <c r="F35" s="1">
        <v>0.3</v>
      </c>
      <c r="G35" s="1">
        <v>1.5</v>
      </c>
      <c r="H35" s="1">
        <v>3</v>
      </c>
      <c r="I35" s="1">
        <v>5</v>
      </c>
      <c r="J35" s="1">
        <v>5.7</v>
      </c>
      <c r="K35" s="1">
        <v>5.3</v>
      </c>
      <c r="L35" s="1">
        <v>4.5999999999999996</v>
      </c>
      <c r="M35" s="1">
        <v>3.9</v>
      </c>
      <c r="N35" s="1">
        <v>3.2</v>
      </c>
      <c r="O35" s="1">
        <f t="shared" si="0"/>
        <v>2.63</v>
      </c>
      <c r="P35">
        <v>1907</v>
      </c>
      <c r="Q35">
        <v>-1.55</v>
      </c>
      <c r="R35">
        <v>-5.17</v>
      </c>
      <c r="S35">
        <v>-4.3</v>
      </c>
      <c r="T35">
        <v>-1.17</v>
      </c>
      <c r="U35">
        <v>1.83</v>
      </c>
      <c r="V35">
        <v>3.05</v>
      </c>
      <c r="W35">
        <v>5.84</v>
      </c>
      <c r="X35">
        <v>4.8</v>
      </c>
      <c r="Y35">
        <v>4.1100000000000003</v>
      </c>
      <c r="Z35">
        <v>1.53</v>
      </c>
      <c r="AA35">
        <v>0</v>
      </c>
      <c r="AB35">
        <v>1.77</v>
      </c>
      <c r="AC35">
        <v>0.9</v>
      </c>
    </row>
    <row r="36" spans="1:29" x14ac:dyDescent="0.2">
      <c r="A36">
        <v>404</v>
      </c>
      <c r="B36">
        <v>1908</v>
      </c>
      <c r="C36" s="1">
        <v>2</v>
      </c>
      <c r="D36" s="1">
        <v>0.4</v>
      </c>
      <c r="E36" s="1">
        <v>0.3</v>
      </c>
      <c r="F36" s="1">
        <v>1.3</v>
      </c>
      <c r="G36" s="1">
        <v>2.8</v>
      </c>
      <c r="H36" s="1">
        <v>4.7</v>
      </c>
      <c r="I36" s="1">
        <v>7.7</v>
      </c>
      <c r="J36" s="1">
        <v>8.5</v>
      </c>
      <c r="K36" s="1">
        <v>7</v>
      </c>
      <c r="L36" s="1">
        <v>5.7</v>
      </c>
      <c r="M36" s="1">
        <v>4</v>
      </c>
      <c r="N36" s="1">
        <v>3.2</v>
      </c>
      <c r="O36" s="1">
        <f t="shared" si="0"/>
        <v>3.97</v>
      </c>
      <c r="P36">
        <v>1908</v>
      </c>
      <c r="Q36">
        <v>-0.95</v>
      </c>
      <c r="R36">
        <v>-3.37</v>
      </c>
      <c r="S36">
        <v>0.05</v>
      </c>
      <c r="T36">
        <v>0.43</v>
      </c>
      <c r="U36">
        <v>2.38</v>
      </c>
      <c r="V36">
        <v>6</v>
      </c>
      <c r="W36">
        <v>9.94</v>
      </c>
      <c r="X36">
        <v>7.65</v>
      </c>
      <c r="Y36">
        <v>6.46</v>
      </c>
      <c r="Z36">
        <v>5.23</v>
      </c>
      <c r="AA36">
        <v>-0.2</v>
      </c>
      <c r="AB36">
        <v>0.12</v>
      </c>
      <c r="AC36">
        <v>2.81</v>
      </c>
    </row>
    <row r="37" spans="1:29" x14ac:dyDescent="0.2">
      <c r="A37">
        <v>404</v>
      </c>
      <c r="B37">
        <v>1909</v>
      </c>
      <c r="C37" s="1">
        <v>2.7</v>
      </c>
      <c r="D37" s="1">
        <v>2.5</v>
      </c>
      <c r="E37" s="1">
        <v>2.2000000000000002</v>
      </c>
      <c r="F37" s="1">
        <v>2.9</v>
      </c>
      <c r="G37" s="1">
        <v>3.1</v>
      </c>
      <c r="H37" s="1">
        <v>5.7</v>
      </c>
      <c r="I37" s="1">
        <v>7.3</v>
      </c>
      <c r="J37" s="1">
        <v>8.6</v>
      </c>
      <c r="K37" s="1">
        <v>7.7</v>
      </c>
      <c r="L37" s="1">
        <v>4.9000000000000004</v>
      </c>
      <c r="M37" s="1">
        <v>3</v>
      </c>
      <c r="N37" s="1">
        <v>1.9</v>
      </c>
      <c r="O37" s="1">
        <f t="shared" si="0"/>
        <v>4.38</v>
      </c>
      <c r="P37">
        <v>1909</v>
      </c>
      <c r="Q37">
        <v>-1.55</v>
      </c>
      <c r="R37">
        <v>0.48</v>
      </c>
      <c r="S37">
        <v>-3</v>
      </c>
      <c r="T37">
        <v>1.63</v>
      </c>
      <c r="U37">
        <v>2.0299999999999998</v>
      </c>
      <c r="V37">
        <v>8.5500000000000007</v>
      </c>
      <c r="W37">
        <v>6.64</v>
      </c>
      <c r="X37">
        <v>7.8</v>
      </c>
      <c r="Y37">
        <v>6.51</v>
      </c>
      <c r="Z37">
        <v>0.83</v>
      </c>
      <c r="AA37">
        <v>0.4</v>
      </c>
      <c r="AB37">
        <v>-4.18</v>
      </c>
      <c r="AC37">
        <v>2.1800000000000002</v>
      </c>
    </row>
    <row r="38" spans="1:29" x14ac:dyDescent="0.2">
      <c r="A38">
        <v>404</v>
      </c>
      <c r="B38">
        <v>1910</v>
      </c>
      <c r="C38" s="1">
        <v>1.7</v>
      </c>
      <c r="D38" s="1">
        <v>0.8</v>
      </c>
      <c r="E38" s="1">
        <v>1.1000000000000001</v>
      </c>
      <c r="F38" s="1">
        <v>2</v>
      </c>
      <c r="G38" s="1">
        <v>2.7</v>
      </c>
      <c r="H38" s="1">
        <v>4.0999999999999996</v>
      </c>
      <c r="I38" s="1">
        <v>5.0999999999999996</v>
      </c>
      <c r="J38" s="1">
        <v>6.4</v>
      </c>
      <c r="K38" s="1">
        <v>5.9</v>
      </c>
      <c r="L38" s="1">
        <v>4.5</v>
      </c>
      <c r="M38" s="1">
        <v>3.1</v>
      </c>
      <c r="N38" s="1">
        <v>1.9</v>
      </c>
      <c r="O38" s="1">
        <f t="shared" si="0"/>
        <v>3.28</v>
      </c>
      <c r="P38">
        <v>1910</v>
      </c>
      <c r="Q38">
        <v>-2.85</v>
      </c>
      <c r="R38">
        <v>-2.87</v>
      </c>
      <c r="S38">
        <v>-1.1499999999999999</v>
      </c>
      <c r="T38">
        <v>-2.77</v>
      </c>
      <c r="U38">
        <v>1.63</v>
      </c>
      <c r="V38">
        <v>4.3499999999999996</v>
      </c>
      <c r="W38">
        <v>6.74</v>
      </c>
      <c r="X38">
        <v>7.3</v>
      </c>
      <c r="Y38">
        <v>5.0599999999999996</v>
      </c>
      <c r="Z38">
        <v>3.73</v>
      </c>
      <c r="AA38">
        <v>-2.2999999999999998</v>
      </c>
      <c r="AB38">
        <v>-1.43</v>
      </c>
      <c r="AC38">
        <v>1.29</v>
      </c>
    </row>
    <row r="39" spans="1:29" x14ac:dyDescent="0.2">
      <c r="A39">
        <v>404</v>
      </c>
      <c r="B39">
        <v>1911</v>
      </c>
      <c r="C39" s="1">
        <v>1.7</v>
      </c>
      <c r="D39" s="1">
        <v>0.6</v>
      </c>
      <c r="E39" s="1">
        <v>0</v>
      </c>
      <c r="F39" s="1">
        <v>0</v>
      </c>
      <c r="G39" s="1">
        <v>2.4</v>
      </c>
      <c r="H39" s="1">
        <v>3.6</v>
      </c>
      <c r="I39" s="1">
        <v>5.9</v>
      </c>
      <c r="J39" s="1">
        <v>6.3</v>
      </c>
      <c r="K39" s="1">
        <v>6.3</v>
      </c>
      <c r="L39" s="1">
        <v>5</v>
      </c>
      <c r="M39" s="1">
        <v>4.0999999999999996</v>
      </c>
      <c r="N39" s="1">
        <v>2.6</v>
      </c>
      <c r="O39" s="1">
        <f t="shared" si="0"/>
        <v>3.21</v>
      </c>
      <c r="P39">
        <v>1911</v>
      </c>
      <c r="Q39">
        <v>-1</v>
      </c>
      <c r="R39">
        <v>-4.12</v>
      </c>
      <c r="S39">
        <v>-0.4</v>
      </c>
      <c r="T39">
        <v>-2.12</v>
      </c>
      <c r="U39">
        <v>3.78</v>
      </c>
      <c r="V39">
        <v>4.8499999999999996</v>
      </c>
      <c r="W39">
        <v>7.84</v>
      </c>
      <c r="X39">
        <v>6.75</v>
      </c>
      <c r="Y39">
        <v>4.46</v>
      </c>
      <c r="Z39">
        <v>3.03</v>
      </c>
      <c r="AA39">
        <v>0.25</v>
      </c>
      <c r="AB39">
        <v>0.02</v>
      </c>
      <c r="AC39">
        <v>1.95</v>
      </c>
    </row>
    <row r="40" spans="1:29" x14ac:dyDescent="0.2">
      <c r="A40">
        <v>404</v>
      </c>
      <c r="B40">
        <v>1912</v>
      </c>
      <c r="C40" s="1">
        <v>2.5</v>
      </c>
      <c r="D40" s="1">
        <v>1.6</v>
      </c>
      <c r="E40" s="1">
        <v>2.2999999999999998</v>
      </c>
      <c r="F40" s="1">
        <v>2.9</v>
      </c>
      <c r="G40" s="1">
        <v>4.2</v>
      </c>
      <c r="H40" s="1">
        <v>7.5</v>
      </c>
      <c r="I40" s="1">
        <v>9.1999999999999993</v>
      </c>
      <c r="J40" s="1">
        <v>7.4</v>
      </c>
      <c r="K40" s="1">
        <v>5.5</v>
      </c>
      <c r="L40" s="1">
        <v>3.9</v>
      </c>
      <c r="M40" s="1">
        <v>3.2</v>
      </c>
      <c r="N40" s="1">
        <v>2.2000000000000002</v>
      </c>
      <c r="O40" s="1">
        <f t="shared" si="0"/>
        <v>4.37</v>
      </c>
      <c r="P40">
        <v>1912</v>
      </c>
      <c r="Q40">
        <v>-0.4</v>
      </c>
      <c r="R40">
        <v>-3.72</v>
      </c>
      <c r="S40">
        <v>-1.6</v>
      </c>
      <c r="T40">
        <v>0.13</v>
      </c>
      <c r="U40">
        <v>3.48</v>
      </c>
      <c r="V40">
        <v>6.95</v>
      </c>
      <c r="W40">
        <v>8.2899999999999991</v>
      </c>
      <c r="X40">
        <v>5.3</v>
      </c>
      <c r="Y40">
        <v>5.71</v>
      </c>
      <c r="Z40">
        <v>2.73</v>
      </c>
      <c r="AA40">
        <v>-1</v>
      </c>
      <c r="AB40">
        <v>-1.53</v>
      </c>
      <c r="AC40">
        <v>2.0299999999999998</v>
      </c>
    </row>
    <row r="41" spans="1:29" x14ac:dyDescent="0.2">
      <c r="A41">
        <v>404</v>
      </c>
      <c r="B41">
        <v>1913</v>
      </c>
      <c r="C41" s="1">
        <v>1.7</v>
      </c>
      <c r="D41" s="1">
        <v>0.9</v>
      </c>
      <c r="E41" s="1">
        <v>0.4</v>
      </c>
      <c r="F41" s="1">
        <v>2.1</v>
      </c>
      <c r="G41" s="1">
        <v>3.3</v>
      </c>
      <c r="H41" s="1">
        <v>5.7</v>
      </c>
      <c r="I41" s="1">
        <v>8.1999999999999993</v>
      </c>
      <c r="J41" s="1">
        <v>7.8</v>
      </c>
      <c r="K41" s="1">
        <v>7</v>
      </c>
      <c r="L41" s="1">
        <v>5.7</v>
      </c>
      <c r="M41" s="1">
        <v>3.9</v>
      </c>
      <c r="N41" s="1">
        <v>3.4</v>
      </c>
      <c r="O41" s="1">
        <f t="shared" si="0"/>
        <v>4.18</v>
      </c>
      <c r="P41">
        <v>1913</v>
      </c>
      <c r="Q41">
        <v>-1.1000000000000001</v>
      </c>
      <c r="R41">
        <v>-1.17</v>
      </c>
      <c r="S41">
        <v>-3.65</v>
      </c>
      <c r="T41">
        <v>0.78</v>
      </c>
      <c r="U41">
        <v>2.63</v>
      </c>
      <c r="V41">
        <v>4.8</v>
      </c>
      <c r="W41">
        <v>8.2899999999999991</v>
      </c>
      <c r="X41">
        <v>7.1</v>
      </c>
      <c r="Y41">
        <v>6.41</v>
      </c>
      <c r="Z41">
        <v>2.23</v>
      </c>
      <c r="AA41">
        <v>-0.05</v>
      </c>
      <c r="AB41">
        <v>-0.98</v>
      </c>
      <c r="AC41">
        <v>2.11</v>
      </c>
    </row>
    <row r="42" spans="1:29" x14ac:dyDescent="0.2">
      <c r="A42">
        <v>404</v>
      </c>
      <c r="B42">
        <v>1914</v>
      </c>
      <c r="C42" s="1">
        <v>2.9</v>
      </c>
      <c r="D42" s="1">
        <v>1</v>
      </c>
      <c r="E42" s="1">
        <v>0.2</v>
      </c>
      <c r="F42" s="1">
        <v>-0.3</v>
      </c>
      <c r="G42" s="1">
        <v>0.7</v>
      </c>
      <c r="H42" s="1">
        <v>3.3</v>
      </c>
      <c r="I42" s="1">
        <v>4.8</v>
      </c>
      <c r="J42" s="1">
        <v>6.6</v>
      </c>
      <c r="K42" s="1">
        <v>6</v>
      </c>
      <c r="L42" s="1">
        <v>5.9</v>
      </c>
      <c r="M42" s="1">
        <v>3.6</v>
      </c>
      <c r="N42" s="1">
        <v>2.9</v>
      </c>
      <c r="O42" s="1">
        <f t="shared" si="0"/>
        <v>3.13</v>
      </c>
      <c r="P42">
        <v>1914</v>
      </c>
      <c r="Q42">
        <v>-0.35</v>
      </c>
      <c r="R42">
        <v>-3.67</v>
      </c>
      <c r="S42">
        <v>-4.7</v>
      </c>
      <c r="T42">
        <v>-2.02</v>
      </c>
      <c r="U42">
        <v>-0.67</v>
      </c>
      <c r="V42">
        <v>4.9000000000000004</v>
      </c>
      <c r="W42">
        <v>6.49</v>
      </c>
      <c r="X42">
        <v>8.3000000000000007</v>
      </c>
      <c r="Y42">
        <v>5.01</v>
      </c>
      <c r="Z42">
        <v>3.73</v>
      </c>
      <c r="AA42">
        <v>-1.45</v>
      </c>
      <c r="AB42">
        <v>-0.73</v>
      </c>
      <c r="AC42">
        <v>1.24</v>
      </c>
    </row>
    <row r="43" spans="1:29" x14ac:dyDescent="0.2">
      <c r="A43">
        <v>404</v>
      </c>
      <c r="B43">
        <v>1915</v>
      </c>
      <c r="C43" s="1">
        <v>2</v>
      </c>
      <c r="D43" s="1">
        <v>1.1000000000000001</v>
      </c>
      <c r="E43" s="1">
        <v>1</v>
      </c>
      <c r="F43" s="1">
        <v>1</v>
      </c>
      <c r="G43" s="1">
        <v>0.3</v>
      </c>
      <c r="H43" s="1">
        <v>2.2000000000000002</v>
      </c>
      <c r="I43" s="1">
        <v>2.5</v>
      </c>
      <c r="J43" s="1">
        <v>6.5</v>
      </c>
      <c r="K43" s="1">
        <v>6.1</v>
      </c>
      <c r="L43" s="1">
        <v>6.4</v>
      </c>
      <c r="M43" s="1">
        <v>5.8</v>
      </c>
      <c r="N43" s="1">
        <v>4.4000000000000004</v>
      </c>
      <c r="O43" s="1">
        <f t="shared" si="0"/>
        <v>3.28</v>
      </c>
      <c r="P43">
        <v>1915</v>
      </c>
      <c r="Q43">
        <v>-0.95</v>
      </c>
      <c r="R43">
        <v>-2.42</v>
      </c>
      <c r="S43">
        <v>-3.75</v>
      </c>
      <c r="T43">
        <v>-0.42</v>
      </c>
      <c r="U43">
        <v>0.57999999999999996</v>
      </c>
      <c r="V43">
        <v>3.7</v>
      </c>
      <c r="W43">
        <v>3.69</v>
      </c>
      <c r="X43">
        <v>5.8</v>
      </c>
      <c r="Y43">
        <v>4.51</v>
      </c>
      <c r="Z43">
        <v>5.83</v>
      </c>
      <c r="AA43">
        <v>2.2000000000000002</v>
      </c>
      <c r="AB43">
        <v>-1.83</v>
      </c>
      <c r="AC43">
        <v>1.41</v>
      </c>
    </row>
    <row r="44" spans="1:29" x14ac:dyDescent="0.2">
      <c r="A44">
        <v>404</v>
      </c>
      <c r="B44">
        <v>1916</v>
      </c>
      <c r="C44" s="1">
        <v>3.1</v>
      </c>
      <c r="D44" s="1">
        <v>2.2000000000000002</v>
      </c>
      <c r="E44" s="1">
        <v>1.9</v>
      </c>
      <c r="F44" s="1">
        <v>1.6</v>
      </c>
      <c r="G44" s="1">
        <v>2.2000000000000002</v>
      </c>
      <c r="H44" s="1">
        <v>5.3</v>
      </c>
      <c r="I44" s="1">
        <v>7.3</v>
      </c>
      <c r="J44" s="1">
        <v>8.1999999999999993</v>
      </c>
      <c r="K44" s="1">
        <v>6.8</v>
      </c>
      <c r="L44" s="1">
        <v>5.5</v>
      </c>
      <c r="M44" s="1">
        <v>4</v>
      </c>
      <c r="N44" s="1">
        <v>2.8</v>
      </c>
      <c r="O44" s="1">
        <f t="shared" si="0"/>
        <v>4.24</v>
      </c>
      <c r="P44">
        <v>1916</v>
      </c>
      <c r="Q44">
        <v>-0.5</v>
      </c>
      <c r="R44">
        <v>0.03</v>
      </c>
      <c r="S44">
        <v>-2.2999999999999998</v>
      </c>
      <c r="T44">
        <v>-2.02</v>
      </c>
      <c r="U44">
        <v>1.28</v>
      </c>
      <c r="V44">
        <v>5.55</v>
      </c>
      <c r="W44">
        <v>8.49</v>
      </c>
      <c r="X44">
        <v>7.75</v>
      </c>
      <c r="Y44">
        <v>6.56</v>
      </c>
      <c r="Z44">
        <v>3.73</v>
      </c>
      <c r="AA44">
        <v>0.65</v>
      </c>
      <c r="AB44">
        <v>-3.58</v>
      </c>
      <c r="AC44">
        <v>2.14</v>
      </c>
    </row>
    <row r="45" spans="1:29" x14ac:dyDescent="0.2">
      <c r="A45">
        <v>404</v>
      </c>
      <c r="B45">
        <v>1917</v>
      </c>
      <c r="C45" s="1">
        <v>2.4</v>
      </c>
      <c r="D45" s="1">
        <v>2.5</v>
      </c>
      <c r="E45" s="1">
        <v>1.9</v>
      </c>
      <c r="F45" s="1">
        <v>0.2</v>
      </c>
      <c r="G45" s="1">
        <v>1.1000000000000001</v>
      </c>
      <c r="H45" s="1">
        <v>3.4</v>
      </c>
      <c r="I45" s="1">
        <v>6.8</v>
      </c>
      <c r="J45" s="1">
        <v>6.8</v>
      </c>
      <c r="K45" s="1">
        <v>6</v>
      </c>
      <c r="L45" s="1">
        <v>5.3</v>
      </c>
      <c r="M45" s="1">
        <v>4.0999999999999996</v>
      </c>
      <c r="N45" s="1">
        <v>0.4</v>
      </c>
      <c r="O45" s="1">
        <f t="shared" si="0"/>
        <v>3.41</v>
      </c>
      <c r="P45">
        <v>1917</v>
      </c>
      <c r="Q45">
        <v>0.3</v>
      </c>
      <c r="R45">
        <v>-0.56999999999999995</v>
      </c>
      <c r="S45">
        <v>-1.1499999999999999</v>
      </c>
      <c r="T45">
        <v>-4.92</v>
      </c>
      <c r="U45">
        <v>2.1800000000000002</v>
      </c>
      <c r="V45">
        <v>3.85</v>
      </c>
      <c r="W45">
        <v>8.49</v>
      </c>
      <c r="X45">
        <v>7.35</v>
      </c>
      <c r="Y45">
        <v>4.0599999999999996</v>
      </c>
      <c r="Z45">
        <v>-1.47</v>
      </c>
      <c r="AA45">
        <v>-2.35</v>
      </c>
      <c r="AB45">
        <v>-5.13</v>
      </c>
      <c r="AC45">
        <v>0.89</v>
      </c>
    </row>
    <row r="46" spans="1:29" x14ac:dyDescent="0.2">
      <c r="A46">
        <v>404</v>
      </c>
      <c r="B46">
        <v>1918</v>
      </c>
      <c r="C46" s="3">
        <v>-1</v>
      </c>
      <c r="D46" s="3">
        <v>-1</v>
      </c>
      <c r="E46" s="1">
        <v>-0.6</v>
      </c>
      <c r="F46" s="1">
        <v>-0.5</v>
      </c>
      <c r="G46" s="1">
        <v>1</v>
      </c>
      <c r="H46" s="1">
        <v>3.2</v>
      </c>
      <c r="I46" s="1">
        <v>5.3</v>
      </c>
      <c r="J46" s="1">
        <v>7.5</v>
      </c>
      <c r="K46" s="1">
        <v>7.3</v>
      </c>
      <c r="L46" s="1">
        <v>5.2</v>
      </c>
      <c r="M46" s="1">
        <v>4.4000000000000004</v>
      </c>
      <c r="N46" s="1">
        <v>2.8</v>
      </c>
      <c r="O46" s="1">
        <f t="shared" si="0"/>
        <v>2.8</v>
      </c>
      <c r="P46">
        <v>1918</v>
      </c>
      <c r="Q46">
        <v>-13.7</v>
      </c>
      <c r="R46">
        <v>-4.62</v>
      </c>
      <c r="S46">
        <v>-1.2</v>
      </c>
      <c r="T46">
        <v>-2.17</v>
      </c>
      <c r="U46">
        <v>3.43</v>
      </c>
      <c r="V46">
        <v>5.25</v>
      </c>
      <c r="W46">
        <v>5.49</v>
      </c>
      <c r="X46">
        <v>7</v>
      </c>
      <c r="Y46">
        <v>3.21</v>
      </c>
      <c r="Z46">
        <v>2.58</v>
      </c>
      <c r="AA46">
        <v>0.15</v>
      </c>
      <c r="AB46">
        <v>-0.98</v>
      </c>
      <c r="AC46">
        <v>0.37</v>
      </c>
    </row>
    <row r="47" spans="1:29" x14ac:dyDescent="0.2">
      <c r="A47">
        <v>404</v>
      </c>
      <c r="B47">
        <v>1919</v>
      </c>
      <c r="C47" s="1">
        <v>1.7</v>
      </c>
      <c r="D47" s="1">
        <v>1.4</v>
      </c>
      <c r="E47" s="1">
        <v>1.1000000000000001</v>
      </c>
      <c r="F47" s="1">
        <v>1.6</v>
      </c>
      <c r="G47" s="1">
        <v>4.2</v>
      </c>
      <c r="H47" s="1">
        <v>6.3</v>
      </c>
      <c r="I47" s="1">
        <v>7.7</v>
      </c>
      <c r="J47" s="1">
        <v>8.5</v>
      </c>
      <c r="K47" s="1">
        <v>7.3</v>
      </c>
      <c r="L47" s="1">
        <v>5.0999999999999996</v>
      </c>
      <c r="M47" s="1">
        <v>3.1</v>
      </c>
      <c r="N47" s="1">
        <v>2.8</v>
      </c>
      <c r="O47" s="1">
        <f t="shared" si="0"/>
        <v>4.2300000000000004</v>
      </c>
      <c r="P47">
        <v>1919</v>
      </c>
      <c r="Q47">
        <v>-0.55000000000000004</v>
      </c>
      <c r="R47">
        <v>-3.67</v>
      </c>
      <c r="S47">
        <v>-5.65</v>
      </c>
      <c r="T47">
        <v>-2.57</v>
      </c>
      <c r="U47">
        <v>3.23</v>
      </c>
      <c r="V47">
        <v>5.9</v>
      </c>
      <c r="W47">
        <v>8.84</v>
      </c>
      <c r="X47">
        <v>6.45</v>
      </c>
      <c r="Y47">
        <v>4.16</v>
      </c>
      <c r="Z47">
        <v>1.98</v>
      </c>
      <c r="AA47">
        <v>-2.2999999999999998</v>
      </c>
      <c r="AB47">
        <v>-1.18</v>
      </c>
      <c r="AC47">
        <v>1.22</v>
      </c>
    </row>
    <row r="48" spans="1:29" x14ac:dyDescent="0.2">
      <c r="A48">
        <v>404</v>
      </c>
      <c r="B48">
        <v>1920</v>
      </c>
      <c r="C48" s="1">
        <v>1</v>
      </c>
      <c r="D48" s="1">
        <v>0.2</v>
      </c>
      <c r="E48" s="1">
        <v>0.1</v>
      </c>
      <c r="F48" s="1">
        <v>1.2</v>
      </c>
      <c r="G48" s="1">
        <v>2.9</v>
      </c>
      <c r="H48" s="1">
        <v>4.5</v>
      </c>
      <c r="I48" s="1">
        <v>6.1</v>
      </c>
      <c r="J48" s="1">
        <v>8.1</v>
      </c>
      <c r="K48" s="1">
        <v>8.1</v>
      </c>
      <c r="L48" s="1">
        <v>7.1</v>
      </c>
      <c r="M48" s="1">
        <v>5.8</v>
      </c>
      <c r="N48" s="1">
        <v>5.3</v>
      </c>
      <c r="O48" s="1">
        <f t="shared" si="0"/>
        <v>4.2</v>
      </c>
      <c r="P48">
        <v>1920</v>
      </c>
      <c r="Q48">
        <v>-3.8</v>
      </c>
      <c r="R48">
        <v>-2.67</v>
      </c>
      <c r="S48">
        <v>-2.4500000000000002</v>
      </c>
      <c r="T48">
        <v>-2.4700000000000002</v>
      </c>
      <c r="U48">
        <v>1.1299999999999999</v>
      </c>
      <c r="V48">
        <v>6.15</v>
      </c>
      <c r="W48">
        <v>6.89</v>
      </c>
      <c r="X48">
        <v>7.6</v>
      </c>
      <c r="Y48">
        <v>6.56</v>
      </c>
      <c r="Z48">
        <v>5.83</v>
      </c>
      <c r="AA48">
        <v>3.15</v>
      </c>
      <c r="AB48">
        <v>0.56999999999999995</v>
      </c>
      <c r="AC48">
        <v>2.21</v>
      </c>
    </row>
    <row r="49" spans="1:29" x14ac:dyDescent="0.2">
      <c r="A49">
        <v>404</v>
      </c>
      <c r="B49">
        <v>1921</v>
      </c>
      <c r="C49" s="1">
        <v>3.4</v>
      </c>
      <c r="D49" s="1">
        <v>3.2</v>
      </c>
      <c r="E49" s="1">
        <v>2.2999999999999998</v>
      </c>
      <c r="F49" s="1">
        <v>2.4</v>
      </c>
      <c r="G49" s="1">
        <v>4.5</v>
      </c>
      <c r="H49" s="1">
        <v>5.5</v>
      </c>
      <c r="I49" s="1">
        <v>5.7</v>
      </c>
      <c r="J49" s="1">
        <v>6.6</v>
      </c>
      <c r="K49" s="1">
        <v>6.4</v>
      </c>
      <c r="L49" s="1">
        <v>4.8</v>
      </c>
      <c r="M49" s="1">
        <v>3.3</v>
      </c>
      <c r="N49" s="1">
        <v>3.2</v>
      </c>
      <c r="O49" s="1">
        <f t="shared" si="0"/>
        <v>4.28</v>
      </c>
      <c r="P49">
        <v>1921</v>
      </c>
      <c r="Q49">
        <v>-3.95</v>
      </c>
      <c r="R49">
        <v>1.1299999999999999</v>
      </c>
      <c r="S49">
        <v>-3.35</v>
      </c>
      <c r="T49">
        <v>-0.82</v>
      </c>
      <c r="U49">
        <v>0.98</v>
      </c>
      <c r="V49">
        <v>5.7</v>
      </c>
      <c r="W49">
        <v>6.79</v>
      </c>
      <c r="X49">
        <v>5.5</v>
      </c>
      <c r="Y49">
        <v>4.8099999999999996</v>
      </c>
      <c r="Z49">
        <v>1.63</v>
      </c>
      <c r="AA49">
        <v>0.5</v>
      </c>
      <c r="AB49">
        <v>-1.18</v>
      </c>
      <c r="AC49">
        <v>1.48</v>
      </c>
    </row>
    <row r="50" spans="1:29" x14ac:dyDescent="0.2">
      <c r="A50">
        <v>404</v>
      </c>
      <c r="B50">
        <v>1922</v>
      </c>
      <c r="C50" s="1">
        <v>3.1</v>
      </c>
      <c r="D50" s="1">
        <v>2.7</v>
      </c>
      <c r="E50" s="1">
        <v>2.2000000000000002</v>
      </c>
      <c r="F50" s="1">
        <v>2.7</v>
      </c>
      <c r="G50" s="1">
        <v>4.0999999999999996</v>
      </c>
      <c r="H50" s="1">
        <v>6.5</v>
      </c>
      <c r="I50" s="1">
        <v>7.7</v>
      </c>
      <c r="J50" s="1">
        <v>8.3000000000000007</v>
      </c>
      <c r="K50" s="1">
        <v>7.4</v>
      </c>
      <c r="L50" s="1">
        <v>5.9</v>
      </c>
      <c r="M50" s="1">
        <v>3.9</v>
      </c>
      <c r="N50" s="1">
        <v>4.0999999999999996</v>
      </c>
      <c r="O50" s="1">
        <f t="shared" si="0"/>
        <v>4.88</v>
      </c>
      <c r="P50">
        <v>1922</v>
      </c>
      <c r="Q50">
        <v>0.7</v>
      </c>
      <c r="R50">
        <v>0.78</v>
      </c>
      <c r="S50">
        <v>-1.1499999999999999</v>
      </c>
      <c r="T50">
        <v>-1.37</v>
      </c>
      <c r="U50">
        <v>1.38</v>
      </c>
      <c r="V50">
        <v>4.5</v>
      </c>
      <c r="W50">
        <v>6.44</v>
      </c>
      <c r="X50">
        <v>7.1</v>
      </c>
      <c r="Y50">
        <v>4.1100000000000003</v>
      </c>
      <c r="Z50">
        <v>3.83</v>
      </c>
      <c r="AA50">
        <v>0.15</v>
      </c>
      <c r="AB50">
        <v>1.17</v>
      </c>
      <c r="AC50">
        <v>2.2999999999999998</v>
      </c>
    </row>
    <row r="51" spans="1:29" x14ac:dyDescent="0.2">
      <c r="A51">
        <v>404</v>
      </c>
      <c r="B51">
        <v>1923</v>
      </c>
      <c r="C51" s="1">
        <v>2.6</v>
      </c>
      <c r="D51" s="1">
        <v>3.4</v>
      </c>
      <c r="E51" s="1">
        <v>2.2000000000000002</v>
      </c>
      <c r="F51" s="1">
        <v>3.8</v>
      </c>
      <c r="G51" s="1">
        <v>4.3</v>
      </c>
      <c r="H51" s="1">
        <v>5.2</v>
      </c>
      <c r="I51" s="1">
        <v>7.1</v>
      </c>
      <c r="J51" s="1">
        <v>7.4</v>
      </c>
      <c r="K51" s="1">
        <v>6.3</v>
      </c>
      <c r="L51" s="1">
        <v>4.7</v>
      </c>
      <c r="M51" s="1">
        <v>3.6</v>
      </c>
      <c r="N51" s="1">
        <v>2.2999999999999998</v>
      </c>
      <c r="O51" s="1">
        <f t="shared" si="0"/>
        <v>4.41</v>
      </c>
      <c r="P51">
        <v>1923</v>
      </c>
      <c r="Q51">
        <v>-2.25</v>
      </c>
      <c r="R51">
        <v>0.18</v>
      </c>
      <c r="S51">
        <v>1.95</v>
      </c>
      <c r="T51">
        <v>2.08</v>
      </c>
      <c r="U51">
        <v>2.1</v>
      </c>
      <c r="V51">
        <v>6.1</v>
      </c>
      <c r="W51">
        <v>7.39</v>
      </c>
      <c r="X51">
        <v>6.6</v>
      </c>
      <c r="Y51">
        <v>3.56</v>
      </c>
      <c r="Z51">
        <v>1.78</v>
      </c>
      <c r="AA51">
        <v>-1.9</v>
      </c>
      <c r="AB51">
        <v>-1.93</v>
      </c>
      <c r="AC51">
        <v>2.14</v>
      </c>
    </row>
    <row r="52" spans="1:29" x14ac:dyDescent="0.2">
      <c r="A52">
        <v>404</v>
      </c>
      <c r="B52">
        <v>1924</v>
      </c>
      <c r="C52" s="1">
        <v>1.8</v>
      </c>
      <c r="D52" s="1">
        <v>1.5</v>
      </c>
      <c r="E52" s="1">
        <v>0.8</v>
      </c>
      <c r="F52" s="1">
        <v>1.3</v>
      </c>
      <c r="G52" s="1">
        <v>2.8</v>
      </c>
      <c r="H52" s="1">
        <v>4.3</v>
      </c>
      <c r="I52" s="1">
        <v>6.8</v>
      </c>
      <c r="J52" s="1">
        <v>7.4</v>
      </c>
      <c r="K52" s="1">
        <v>6.4</v>
      </c>
      <c r="L52" s="1">
        <v>4.7</v>
      </c>
      <c r="M52" s="1">
        <v>3.5</v>
      </c>
      <c r="N52" s="1">
        <v>2.7</v>
      </c>
      <c r="O52" s="1">
        <f t="shared" si="0"/>
        <v>3.67</v>
      </c>
      <c r="P52">
        <v>1924</v>
      </c>
      <c r="Q52">
        <v>0.1</v>
      </c>
      <c r="R52">
        <v>-1.37</v>
      </c>
      <c r="S52">
        <v>-3.1</v>
      </c>
      <c r="T52">
        <v>-1.42</v>
      </c>
      <c r="U52">
        <v>0.63</v>
      </c>
      <c r="V52">
        <v>4.05</v>
      </c>
      <c r="W52">
        <v>7.04</v>
      </c>
      <c r="X52">
        <v>6.75</v>
      </c>
      <c r="Y52">
        <v>4.51</v>
      </c>
      <c r="Z52">
        <v>2.93</v>
      </c>
      <c r="AA52">
        <v>1.75</v>
      </c>
      <c r="AB52">
        <v>0.37</v>
      </c>
      <c r="AC52">
        <v>1.85</v>
      </c>
    </row>
    <row r="53" spans="1:29" x14ac:dyDescent="0.2">
      <c r="A53">
        <v>404</v>
      </c>
      <c r="B53">
        <v>1925</v>
      </c>
      <c r="C53" s="1">
        <v>2.1</v>
      </c>
      <c r="D53" s="1">
        <v>1.7</v>
      </c>
      <c r="E53" s="1">
        <v>1.5</v>
      </c>
      <c r="F53" s="1">
        <v>2.5</v>
      </c>
      <c r="G53" s="1">
        <v>4.5</v>
      </c>
      <c r="H53" s="1">
        <v>6.4</v>
      </c>
      <c r="I53" s="1">
        <v>8</v>
      </c>
      <c r="J53" s="1">
        <v>8.6</v>
      </c>
      <c r="K53" s="1">
        <v>7.1</v>
      </c>
      <c r="L53" s="1">
        <v>5.2</v>
      </c>
      <c r="M53" s="1">
        <v>4.0999999999999996</v>
      </c>
      <c r="N53" s="1">
        <v>2.8</v>
      </c>
      <c r="O53" s="1">
        <f t="shared" si="0"/>
        <v>4.54</v>
      </c>
      <c r="P53">
        <v>1925</v>
      </c>
      <c r="Q53">
        <v>-0.7</v>
      </c>
      <c r="R53">
        <v>-2.27</v>
      </c>
      <c r="S53">
        <v>-1.5</v>
      </c>
      <c r="T53">
        <v>-0.02</v>
      </c>
      <c r="U53">
        <v>2.68</v>
      </c>
      <c r="V53">
        <v>7.9</v>
      </c>
      <c r="W53">
        <v>9.2899999999999991</v>
      </c>
      <c r="X53">
        <v>8.1999999999999993</v>
      </c>
      <c r="Y53">
        <v>5.91</v>
      </c>
      <c r="Z53">
        <v>1.78</v>
      </c>
      <c r="AA53">
        <v>0.85</v>
      </c>
      <c r="AB53">
        <v>-2.83</v>
      </c>
      <c r="AC53">
        <v>2.44</v>
      </c>
    </row>
    <row r="54" spans="1:29" x14ac:dyDescent="0.2">
      <c r="A54">
        <v>404</v>
      </c>
      <c r="B54">
        <v>1926</v>
      </c>
      <c r="C54" s="1">
        <v>2.7</v>
      </c>
      <c r="D54" s="1">
        <v>2.6</v>
      </c>
      <c r="E54" s="1">
        <v>2.9</v>
      </c>
      <c r="F54" s="1">
        <v>3.6</v>
      </c>
      <c r="G54" s="1">
        <v>4.8</v>
      </c>
      <c r="H54" s="1">
        <v>7</v>
      </c>
      <c r="I54" s="1">
        <v>8.5</v>
      </c>
      <c r="J54" s="1">
        <v>8.3000000000000007</v>
      </c>
      <c r="K54" s="1">
        <v>7.4</v>
      </c>
      <c r="L54" s="1">
        <v>5.9</v>
      </c>
      <c r="M54" s="1">
        <v>3.4</v>
      </c>
      <c r="N54" s="1">
        <v>2.2000000000000002</v>
      </c>
      <c r="O54" s="1">
        <f t="shared" si="0"/>
        <v>4.9400000000000004</v>
      </c>
      <c r="P54">
        <v>1926</v>
      </c>
      <c r="Q54">
        <v>0.2</v>
      </c>
      <c r="R54">
        <v>0.53</v>
      </c>
      <c r="S54">
        <v>-2.35</v>
      </c>
      <c r="T54">
        <v>2.83</v>
      </c>
      <c r="U54">
        <v>2.68</v>
      </c>
      <c r="V54">
        <v>6.25</v>
      </c>
      <c r="W54">
        <v>10.44</v>
      </c>
      <c r="X54">
        <v>7.85</v>
      </c>
      <c r="Y54">
        <v>4.8600000000000003</v>
      </c>
      <c r="Z54">
        <v>0.03</v>
      </c>
      <c r="AA54">
        <v>0.85</v>
      </c>
      <c r="AB54">
        <v>-0.88</v>
      </c>
      <c r="AC54">
        <v>2.77</v>
      </c>
    </row>
    <row r="55" spans="1:29" x14ac:dyDescent="0.2">
      <c r="A55">
        <v>404</v>
      </c>
      <c r="B55">
        <v>1927</v>
      </c>
      <c r="C55" s="1">
        <v>1.5</v>
      </c>
      <c r="D55" s="1">
        <v>1.8</v>
      </c>
      <c r="E55" s="1">
        <v>2.2999999999999998</v>
      </c>
      <c r="F55" s="1">
        <v>2.8</v>
      </c>
      <c r="G55" s="1">
        <v>5.2</v>
      </c>
      <c r="H55" s="1">
        <v>7</v>
      </c>
      <c r="I55" s="1">
        <v>8.6999999999999993</v>
      </c>
      <c r="J55" s="1">
        <v>9.8000000000000007</v>
      </c>
      <c r="K55" s="1">
        <v>7.1</v>
      </c>
      <c r="L55" s="1">
        <v>5.5</v>
      </c>
      <c r="M55" s="1">
        <v>4.7</v>
      </c>
      <c r="N55" s="1">
        <v>3.3</v>
      </c>
      <c r="O55" s="1">
        <f t="shared" si="0"/>
        <v>4.9800000000000004</v>
      </c>
      <c r="P55">
        <v>1927</v>
      </c>
      <c r="Q55">
        <v>-3</v>
      </c>
      <c r="R55">
        <v>1.08</v>
      </c>
      <c r="S55">
        <v>0.25</v>
      </c>
      <c r="T55">
        <v>-1.17</v>
      </c>
      <c r="U55">
        <v>3.93</v>
      </c>
      <c r="V55">
        <v>6.45</v>
      </c>
      <c r="W55">
        <v>10.64</v>
      </c>
      <c r="X55">
        <v>8.15</v>
      </c>
      <c r="Y55">
        <v>5.46</v>
      </c>
      <c r="Z55">
        <v>1.93</v>
      </c>
      <c r="AA55">
        <v>1.2</v>
      </c>
      <c r="AB55">
        <v>0.92</v>
      </c>
      <c r="AC55">
        <v>2.99</v>
      </c>
    </row>
    <row r="56" spans="1:29" x14ac:dyDescent="0.2">
      <c r="A56">
        <v>404</v>
      </c>
      <c r="B56">
        <v>1928</v>
      </c>
      <c r="C56" s="1">
        <v>2.6</v>
      </c>
      <c r="D56" s="1">
        <v>2.2000000000000002</v>
      </c>
      <c r="E56" s="1">
        <v>3</v>
      </c>
      <c r="F56" s="1">
        <v>4.2</v>
      </c>
      <c r="G56" s="1">
        <v>5.8</v>
      </c>
      <c r="H56" s="2">
        <f>ROUND((AK54+AK55+AK57+AK58)/4+V56,1)</f>
        <v>4.2</v>
      </c>
      <c r="I56" s="2">
        <f>ROUND((AL54+AL55+AL57+AL58)/4+W56,1)</f>
        <v>8.1999999999999993</v>
      </c>
      <c r="J56" s="1">
        <v>9.4</v>
      </c>
      <c r="K56" s="1">
        <v>8.5</v>
      </c>
      <c r="L56" s="1">
        <v>7.4</v>
      </c>
      <c r="M56" s="1">
        <v>5</v>
      </c>
      <c r="N56" s="1">
        <v>3.6</v>
      </c>
      <c r="O56" s="1">
        <f t="shared" si="0"/>
        <v>5.34</v>
      </c>
      <c r="P56">
        <v>1928</v>
      </c>
      <c r="Q56">
        <v>-1.1499999999999999</v>
      </c>
      <c r="R56">
        <v>-0.37</v>
      </c>
      <c r="S56">
        <v>-0.2</v>
      </c>
      <c r="T56">
        <v>2.93</v>
      </c>
      <c r="U56">
        <v>5.03</v>
      </c>
      <c r="V56">
        <v>4.24</v>
      </c>
      <c r="W56">
        <v>8.19</v>
      </c>
      <c r="X56">
        <v>7.65</v>
      </c>
      <c r="Y56">
        <v>7.41</v>
      </c>
      <c r="Z56">
        <v>4.63</v>
      </c>
      <c r="AA56">
        <v>1.75</v>
      </c>
      <c r="AB56">
        <v>0.27</v>
      </c>
      <c r="AC56">
        <v>3.37</v>
      </c>
    </row>
    <row r="57" spans="1:29" x14ac:dyDescent="0.2">
      <c r="A57">
        <v>404</v>
      </c>
      <c r="B57">
        <v>1929</v>
      </c>
      <c r="C57" s="1">
        <v>3.7</v>
      </c>
      <c r="D57" s="1">
        <v>3</v>
      </c>
      <c r="E57" s="1">
        <v>4.0999999999999996</v>
      </c>
      <c r="F57" s="1">
        <v>4.3</v>
      </c>
      <c r="G57" s="1">
        <v>5.0999999999999996</v>
      </c>
      <c r="H57" s="1">
        <v>7.3</v>
      </c>
      <c r="I57" s="1">
        <v>8.3000000000000007</v>
      </c>
      <c r="J57" s="1">
        <v>7.9</v>
      </c>
      <c r="K57" s="1">
        <v>6.5</v>
      </c>
      <c r="L57" s="1">
        <v>5.0999999999999996</v>
      </c>
      <c r="M57" s="1">
        <v>4.7</v>
      </c>
      <c r="N57" s="1">
        <v>2.8</v>
      </c>
      <c r="O57" s="1">
        <f>ROUND(AVERAGE(C57:N57),2)</f>
        <v>5.23</v>
      </c>
      <c r="P57">
        <v>1929</v>
      </c>
      <c r="Q57">
        <v>1.2</v>
      </c>
      <c r="R57">
        <v>1.73</v>
      </c>
      <c r="S57">
        <v>3.65</v>
      </c>
      <c r="T57">
        <v>1.58</v>
      </c>
      <c r="U57">
        <v>2.93</v>
      </c>
      <c r="V57">
        <v>5.5</v>
      </c>
      <c r="W57">
        <v>10.29</v>
      </c>
      <c r="X57">
        <v>6.4</v>
      </c>
      <c r="Y57">
        <v>4.3099999999999996</v>
      </c>
      <c r="Z57">
        <v>0.43</v>
      </c>
      <c r="AA57">
        <v>0.65</v>
      </c>
      <c r="AB57">
        <v>1.02</v>
      </c>
      <c r="AC57">
        <v>3.31</v>
      </c>
    </row>
    <row r="58" spans="1:29" x14ac:dyDescent="0.2">
      <c r="A58">
        <v>404</v>
      </c>
      <c r="B58">
        <v>1930</v>
      </c>
      <c r="C58" s="1">
        <v>2.2000000000000002</v>
      </c>
      <c r="D58" s="1">
        <v>1.7</v>
      </c>
      <c r="E58" s="1">
        <v>1</v>
      </c>
      <c r="F58" s="1">
        <v>2.2000000000000002</v>
      </c>
      <c r="G58" s="1">
        <v>3.9</v>
      </c>
      <c r="H58" s="1">
        <v>6.6</v>
      </c>
      <c r="I58" s="1">
        <v>8.6</v>
      </c>
      <c r="J58" s="1">
        <v>8.8000000000000007</v>
      </c>
      <c r="K58" s="1">
        <v>7.2</v>
      </c>
      <c r="L58" s="1">
        <v>5.5</v>
      </c>
      <c r="M58" s="1">
        <v>4.2</v>
      </c>
      <c r="N58" s="1">
        <v>3.6</v>
      </c>
      <c r="O58" s="1">
        <f>ROUND(AVERAGE(C58:N58),2)</f>
        <v>4.63</v>
      </c>
      <c r="P58">
        <v>1930</v>
      </c>
      <c r="Q58">
        <v>-2.4</v>
      </c>
      <c r="R58">
        <v>0.63</v>
      </c>
      <c r="S58">
        <v>-4.3</v>
      </c>
      <c r="T58">
        <v>2.4300000000000002</v>
      </c>
      <c r="U58">
        <v>3.73</v>
      </c>
      <c r="V58">
        <v>7.25</v>
      </c>
      <c r="W58">
        <v>7.94</v>
      </c>
      <c r="X58">
        <v>7.8</v>
      </c>
      <c r="Y58">
        <v>7.36</v>
      </c>
      <c r="Z58">
        <v>1.43</v>
      </c>
      <c r="AA58">
        <v>-1.65</v>
      </c>
      <c r="AB58">
        <v>1.17</v>
      </c>
      <c r="AC58">
        <v>2.62</v>
      </c>
    </row>
    <row r="59" spans="1:29" x14ac:dyDescent="0.2">
      <c r="A59">
        <v>404</v>
      </c>
      <c r="B59">
        <v>1931</v>
      </c>
      <c r="C59" s="1">
        <v>2.5</v>
      </c>
      <c r="D59" s="1">
        <v>1.4</v>
      </c>
      <c r="E59" s="1">
        <v>1</v>
      </c>
      <c r="F59" s="1">
        <v>3.1</v>
      </c>
      <c r="G59" s="1">
        <v>5.2</v>
      </c>
      <c r="H59" s="1">
        <v>7.2</v>
      </c>
      <c r="I59" s="1">
        <v>8.8000000000000007</v>
      </c>
      <c r="J59" s="1">
        <v>10.5</v>
      </c>
      <c r="K59" s="1">
        <v>9</v>
      </c>
      <c r="L59" s="1">
        <v>7.5</v>
      </c>
      <c r="M59" s="1">
        <v>6.2</v>
      </c>
      <c r="N59" s="1">
        <v>4</v>
      </c>
      <c r="O59" s="1">
        <f>ROUND(AVERAGE(C59:N59),2)</f>
        <v>5.53</v>
      </c>
      <c r="P59">
        <v>1931</v>
      </c>
      <c r="Q59">
        <v>-2.2000000000000002</v>
      </c>
      <c r="R59">
        <v>-3.82</v>
      </c>
      <c r="S59">
        <v>-1.65</v>
      </c>
      <c r="T59">
        <v>1.18</v>
      </c>
      <c r="U59">
        <v>2.88</v>
      </c>
      <c r="V59">
        <v>5.15</v>
      </c>
      <c r="W59">
        <v>7.49</v>
      </c>
      <c r="X59">
        <v>9.4499999999999993</v>
      </c>
      <c r="Y59">
        <v>7.71</v>
      </c>
      <c r="Z59">
        <v>2.88</v>
      </c>
      <c r="AA59">
        <v>3.1</v>
      </c>
      <c r="AB59">
        <v>-0.73</v>
      </c>
      <c r="AC59">
        <v>2.62</v>
      </c>
    </row>
    <row r="60" spans="1:29" x14ac:dyDescent="0.2">
      <c r="A60">
        <v>404</v>
      </c>
      <c r="B60">
        <v>1932</v>
      </c>
      <c r="C60" s="1">
        <v>2.5</v>
      </c>
      <c r="D60" s="1">
        <v>2.8</v>
      </c>
      <c r="E60" s="1">
        <v>1.7</v>
      </c>
      <c r="F60" s="1">
        <v>2.1</v>
      </c>
      <c r="G60" s="1">
        <v>4.3</v>
      </c>
      <c r="H60" s="1">
        <v>6.4</v>
      </c>
      <c r="I60" s="1">
        <v>7.1</v>
      </c>
      <c r="J60" s="1">
        <v>7.8</v>
      </c>
      <c r="K60" s="1">
        <v>7</v>
      </c>
      <c r="L60" s="1">
        <v>6</v>
      </c>
      <c r="M60" s="1">
        <v>4.5999999999999996</v>
      </c>
      <c r="N60" s="1">
        <v>2.5</v>
      </c>
      <c r="O60" s="1">
        <f>ROUND(AVERAGE(C60:N60),2)</f>
        <v>4.57</v>
      </c>
      <c r="P60">
        <v>1932</v>
      </c>
      <c r="Q60">
        <v>-1.3</v>
      </c>
      <c r="R60">
        <v>3.18</v>
      </c>
      <c r="S60">
        <v>-0.45</v>
      </c>
      <c r="T60">
        <v>-3.17</v>
      </c>
      <c r="U60">
        <v>3.33</v>
      </c>
      <c r="V60">
        <v>7.15</v>
      </c>
      <c r="W60">
        <v>6.74</v>
      </c>
      <c r="X60">
        <v>9.1</v>
      </c>
      <c r="Y60">
        <v>4.5599999999999996</v>
      </c>
      <c r="Z60">
        <v>2.0299999999999998</v>
      </c>
      <c r="AA60">
        <v>1</v>
      </c>
      <c r="AB60">
        <v>1.07</v>
      </c>
      <c r="AC60">
        <v>2.77</v>
      </c>
    </row>
    <row r="61" spans="1:29" x14ac:dyDescent="0.2">
      <c r="A61">
        <v>404</v>
      </c>
      <c r="B61">
        <v>1933</v>
      </c>
      <c r="C61" s="1">
        <v>2.7</v>
      </c>
      <c r="D61" s="1">
        <v>2.4</v>
      </c>
      <c r="E61" s="1">
        <v>2.1</v>
      </c>
      <c r="F61" s="1">
        <v>2.4</v>
      </c>
      <c r="G61" s="1">
        <v>4.9000000000000004</v>
      </c>
      <c r="H61" s="1">
        <v>7</v>
      </c>
      <c r="I61" s="1">
        <v>9.9</v>
      </c>
      <c r="J61" s="1">
        <v>10.6</v>
      </c>
      <c r="K61" s="1">
        <v>8.6999999999999993</v>
      </c>
      <c r="L61" s="1">
        <v>5.6</v>
      </c>
      <c r="M61" s="2" t="s">
        <v>14</v>
      </c>
      <c r="N61" s="2" t="s">
        <v>14</v>
      </c>
      <c r="O61" s="1" t="s">
        <v>14</v>
      </c>
      <c r="P61">
        <v>1933</v>
      </c>
      <c r="Q61">
        <v>1.4</v>
      </c>
      <c r="R61">
        <v>-2.97</v>
      </c>
      <c r="S61">
        <v>-0.35</v>
      </c>
      <c r="T61">
        <v>-0.62</v>
      </c>
      <c r="U61">
        <v>4.7300000000000004</v>
      </c>
      <c r="V61">
        <v>8.15</v>
      </c>
      <c r="W61">
        <v>10.19</v>
      </c>
      <c r="X61">
        <v>9.0500000000000007</v>
      </c>
      <c r="Y61">
        <v>8.2100000000000009</v>
      </c>
      <c r="Z61">
        <v>1.53</v>
      </c>
      <c r="AA61">
        <v>3.05</v>
      </c>
      <c r="AB61">
        <v>3.57</v>
      </c>
      <c r="AC61">
        <v>3.83</v>
      </c>
    </row>
    <row r="62" spans="1:29" x14ac:dyDescent="0.2">
      <c r="A62">
        <v>404</v>
      </c>
      <c r="B62">
        <v>1934</v>
      </c>
      <c r="C62" s="2">
        <f>ROUND((AF60+AF61+AF63+AF64)/4+Q62,1)</f>
        <v>-0.6</v>
      </c>
      <c r="D62" s="2">
        <f>ROUND((AG60+AG61+AG63+AG64)/4+R62,1)</f>
        <v>-0.2</v>
      </c>
      <c r="E62" s="1">
        <v>2.7</v>
      </c>
      <c r="F62" s="1">
        <v>3.7</v>
      </c>
      <c r="G62" s="1">
        <v>4.0999999999999996</v>
      </c>
      <c r="H62" s="1">
        <v>7</v>
      </c>
      <c r="I62" s="1">
        <v>9.8000000000000007</v>
      </c>
      <c r="J62" s="1">
        <v>9.1999999999999993</v>
      </c>
      <c r="K62" s="1">
        <v>7</v>
      </c>
      <c r="L62" s="2">
        <f>ROUND((AO60+AO61+AO58+AO59)/4+Z62,1)</f>
        <v>2.2999999999999998</v>
      </c>
      <c r="M62" s="1" t="s">
        <v>14</v>
      </c>
      <c r="N62" s="1" t="s">
        <v>14</v>
      </c>
      <c r="O62" s="1" t="s">
        <v>14</v>
      </c>
      <c r="P62">
        <v>1934</v>
      </c>
      <c r="Q62">
        <v>-0.55000000000000004</v>
      </c>
      <c r="R62">
        <v>-0.17</v>
      </c>
      <c r="S62">
        <v>-1.6</v>
      </c>
      <c r="T62">
        <v>0.23</v>
      </c>
      <c r="U62">
        <v>2.78</v>
      </c>
      <c r="V62">
        <v>8.0500000000000007</v>
      </c>
      <c r="W62">
        <v>9.24</v>
      </c>
      <c r="X62">
        <v>8.9</v>
      </c>
      <c r="Y62">
        <v>6.06</v>
      </c>
      <c r="Z62">
        <v>2.2799999999999998</v>
      </c>
      <c r="AA62">
        <v>1.05</v>
      </c>
      <c r="AB62">
        <v>2.12</v>
      </c>
      <c r="AC62">
        <v>3.2</v>
      </c>
    </row>
    <row r="63" spans="1:29" x14ac:dyDescent="0.2">
      <c r="A63">
        <v>404</v>
      </c>
      <c r="B63">
        <v>1935</v>
      </c>
      <c r="C63" s="1">
        <v>2.5</v>
      </c>
      <c r="D63" s="1">
        <v>2</v>
      </c>
      <c r="E63" s="1">
        <v>2.7</v>
      </c>
      <c r="F63" s="1">
        <v>3.1</v>
      </c>
      <c r="G63" s="1">
        <v>5.0999999999999996</v>
      </c>
      <c r="H63" s="1">
        <v>8</v>
      </c>
      <c r="I63" s="1">
        <v>8.8000000000000007</v>
      </c>
      <c r="J63" s="1">
        <v>9.1999999999999993</v>
      </c>
      <c r="K63" s="1">
        <v>7.9</v>
      </c>
      <c r="L63" s="1">
        <v>6</v>
      </c>
      <c r="M63" s="1">
        <v>5</v>
      </c>
      <c r="N63" s="1">
        <v>4</v>
      </c>
      <c r="O63" s="1">
        <f>ROUND(AVERAGE(C63:N63),2)</f>
        <v>5.36</v>
      </c>
      <c r="P63">
        <v>1935</v>
      </c>
      <c r="Q63">
        <v>0.3</v>
      </c>
      <c r="R63">
        <v>-4.62</v>
      </c>
      <c r="S63">
        <v>0.2</v>
      </c>
      <c r="T63">
        <v>-1.07</v>
      </c>
      <c r="U63">
        <v>5.33</v>
      </c>
      <c r="V63">
        <v>6.1</v>
      </c>
      <c r="W63">
        <v>8.84</v>
      </c>
      <c r="X63">
        <v>7.9</v>
      </c>
      <c r="Y63">
        <v>5.91</v>
      </c>
      <c r="Z63">
        <v>1.98</v>
      </c>
      <c r="AA63">
        <v>2.75</v>
      </c>
      <c r="AB63">
        <v>-0.28000000000000003</v>
      </c>
      <c r="AC63">
        <v>2.78</v>
      </c>
    </row>
    <row r="64" spans="1:29" x14ac:dyDescent="0.2">
      <c r="A64">
        <v>404</v>
      </c>
      <c r="B64">
        <v>1936</v>
      </c>
      <c r="C64" s="1">
        <v>2.2000000000000002</v>
      </c>
      <c r="D64" s="1">
        <v>1.8</v>
      </c>
      <c r="E64" s="1">
        <v>1.5</v>
      </c>
      <c r="F64" s="1">
        <v>2.1</v>
      </c>
      <c r="G64" s="1">
        <v>5.5</v>
      </c>
      <c r="H64" s="1">
        <v>8.9</v>
      </c>
      <c r="I64" s="1">
        <v>9.3000000000000007</v>
      </c>
      <c r="J64" s="1">
        <v>9.5</v>
      </c>
      <c r="K64" s="1">
        <v>7.8</v>
      </c>
      <c r="L64" s="1">
        <v>6.7</v>
      </c>
      <c r="M64" s="1">
        <v>5.4</v>
      </c>
      <c r="N64" s="1">
        <v>4</v>
      </c>
      <c r="O64" s="1">
        <f>ROUND(AVERAGE(C64:N64),2)</f>
        <v>5.39</v>
      </c>
      <c r="P64">
        <v>1936</v>
      </c>
      <c r="Q64">
        <v>-3.8</v>
      </c>
      <c r="R64">
        <v>-2.92</v>
      </c>
      <c r="S64">
        <v>-1.7</v>
      </c>
      <c r="T64">
        <v>0.28000000000000003</v>
      </c>
      <c r="U64">
        <v>5.68</v>
      </c>
      <c r="V64">
        <v>7.95</v>
      </c>
      <c r="W64">
        <v>8.74</v>
      </c>
      <c r="X64">
        <v>9.0500000000000007</v>
      </c>
      <c r="Y64">
        <v>7.01</v>
      </c>
      <c r="Z64">
        <v>4.13</v>
      </c>
      <c r="AA64">
        <v>1.6</v>
      </c>
      <c r="AB64">
        <v>-2.5299999999999998</v>
      </c>
      <c r="AC64">
        <v>2.79</v>
      </c>
    </row>
    <row r="65" spans="1:29" x14ac:dyDescent="0.2">
      <c r="A65">
        <v>404</v>
      </c>
      <c r="B65">
        <v>1937</v>
      </c>
      <c r="C65" s="1">
        <v>3.2</v>
      </c>
      <c r="D65" s="1">
        <v>2.2999999999999998</v>
      </c>
      <c r="E65" s="1">
        <v>2</v>
      </c>
      <c r="F65" s="1">
        <v>2.7</v>
      </c>
      <c r="G65" s="1">
        <v>4</v>
      </c>
      <c r="H65" s="1">
        <v>7.4</v>
      </c>
      <c r="I65" s="1">
        <v>8.4</v>
      </c>
      <c r="J65" s="1">
        <v>8.6</v>
      </c>
      <c r="K65" s="1">
        <v>7.5</v>
      </c>
      <c r="L65" s="1" t="s">
        <v>14</v>
      </c>
      <c r="M65" s="1" t="s">
        <v>14</v>
      </c>
      <c r="N65" s="1">
        <v>4.2</v>
      </c>
      <c r="O65" s="1" t="s">
        <v>14</v>
      </c>
      <c r="P65">
        <v>1937</v>
      </c>
      <c r="Q65">
        <v>0.55000000000000004</v>
      </c>
      <c r="R65">
        <v>-1.77</v>
      </c>
      <c r="S65">
        <v>-3</v>
      </c>
      <c r="T65">
        <v>1.28</v>
      </c>
      <c r="U65">
        <v>3.53</v>
      </c>
      <c r="V65">
        <v>7.35</v>
      </c>
      <c r="W65">
        <v>8.14</v>
      </c>
      <c r="X65">
        <v>8.9</v>
      </c>
      <c r="Y65">
        <v>5.46</v>
      </c>
      <c r="Z65">
        <v>3.15</v>
      </c>
      <c r="AA65">
        <v>1.95</v>
      </c>
      <c r="AB65">
        <v>1.62</v>
      </c>
      <c r="AC65">
        <v>3.1</v>
      </c>
    </row>
    <row r="66" spans="1:29" x14ac:dyDescent="0.2">
      <c r="A66">
        <v>404</v>
      </c>
      <c r="B66">
        <v>1938</v>
      </c>
      <c r="C66" s="2">
        <f>ROUND((AF64+AF65+AF63+AF68)/4+Q66,1)</f>
        <v>-1.9</v>
      </c>
      <c r="D66" s="1">
        <v>2.6</v>
      </c>
      <c r="E66" s="2">
        <f>ROUND((AH64+AH65+AH63+AH68)/4+S66,1)</f>
        <v>-1.2</v>
      </c>
      <c r="F66" s="2">
        <f>ROUND((AI64+AI65+AI63+AI68)/4+T66,1)</f>
        <v>3.4</v>
      </c>
      <c r="G66" s="2">
        <f>ROUND((AJ64+AJ65+AJ63+AJ68)/4+U66,1)</f>
        <v>1.7</v>
      </c>
      <c r="H66" s="1">
        <v>6.5</v>
      </c>
      <c r="I66" s="2">
        <f>ROUND((AL64+AL65+AL63+AL68)/4+W66,1)</f>
        <v>6.4</v>
      </c>
      <c r="J66" s="2">
        <f>ROUND((AM64+AM65+AM63+AM68)/4+X66,1)</f>
        <v>8.5</v>
      </c>
      <c r="K66" s="2">
        <f>ROUND((AN64+AN65+AN63+AN68)/4+Y66,1)</f>
        <v>7.3</v>
      </c>
      <c r="L66" s="1" t="s">
        <v>14</v>
      </c>
      <c r="M66" s="1" t="s">
        <v>14</v>
      </c>
      <c r="N66" s="1" t="s">
        <v>14</v>
      </c>
      <c r="O66" s="1" t="s">
        <v>14</v>
      </c>
      <c r="P66">
        <v>1938</v>
      </c>
      <c r="Q66">
        <v>-1.9</v>
      </c>
      <c r="R66">
        <v>0.43</v>
      </c>
      <c r="S66">
        <v>-1.1499999999999999</v>
      </c>
      <c r="T66">
        <v>3.44</v>
      </c>
      <c r="U66">
        <v>1.68</v>
      </c>
      <c r="V66">
        <v>3.8</v>
      </c>
      <c r="W66">
        <v>6.39</v>
      </c>
      <c r="X66">
        <v>8.4499999999999993</v>
      </c>
      <c r="Y66">
        <v>7.26</v>
      </c>
      <c r="Z66">
        <v>3.83</v>
      </c>
      <c r="AA66">
        <v>1.4</v>
      </c>
      <c r="AB66">
        <v>1.62</v>
      </c>
      <c r="AC66">
        <v>2.94</v>
      </c>
    </row>
    <row r="67" spans="1:29" x14ac:dyDescent="0.2">
      <c r="A67">
        <v>404</v>
      </c>
      <c r="B67">
        <v>1939</v>
      </c>
      <c r="C67" s="1" t="s">
        <v>14</v>
      </c>
      <c r="D67" s="2">
        <f>ROUND((AG65+AG66+AG64+AG68)/4+R67,1)</f>
        <v>-0.7</v>
      </c>
      <c r="E67" s="2">
        <v>3</v>
      </c>
      <c r="F67" s="1">
        <v>2.4</v>
      </c>
      <c r="G67" s="1">
        <v>4.8</v>
      </c>
      <c r="H67" s="1">
        <v>7.9</v>
      </c>
      <c r="I67" s="1">
        <v>8.8000000000000007</v>
      </c>
      <c r="J67" s="1">
        <v>10.5</v>
      </c>
      <c r="K67" s="1" t="s">
        <v>14</v>
      </c>
      <c r="L67" s="1" t="s">
        <v>14</v>
      </c>
      <c r="M67" s="1">
        <v>4.9000000000000004</v>
      </c>
      <c r="N67" s="1">
        <v>3.5</v>
      </c>
      <c r="O67" s="1" t="s">
        <v>14</v>
      </c>
      <c r="P67">
        <v>1939</v>
      </c>
      <c r="Q67">
        <v>-1.2</v>
      </c>
      <c r="R67">
        <v>-0.67</v>
      </c>
      <c r="S67">
        <v>0.9</v>
      </c>
      <c r="T67">
        <v>0.78</v>
      </c>
      <c r="U67">
        <v>5.88</v>
      </c>
      <c r="V67">
        <v>8.35</v>
      </c>
      <c r="W67">
        <v>9.09</v>
      </c>
      <c r="X67">
        <v>10.85</v>
      </c>
      <c r="Y67">
        <v>8.7100000000000009</v>
      </c>
      <c r="Z67">
        <v>6.33</v>
      </c>
      <c r="AA67">
        <v>-0.25</v>
      </c>
      <c r="AB67">
        <v>-0.83</v>
      </c>
      <c r="AC67">
        <v>4</v>
      </c>
    </row>
    <row r="68" spans="1:29" x14ac:dyDescent="0.2">
      <c r="A68">
        <v>404</v>
      </c>
      <c r="B68">
        <v>1940</v>
      </c>
      <c r="C68" s="1">
        <v>3.7</v>
      </c>
      <c r="D68" s="1">
        <v>3.9</v>
      </c>
      <c r="E68" s="1">
        <v>3.2</v>
      </c>
      <c r="F68" s="1">
        <v>2.8</v>
      </c>
      <c r="G68" s="1">
        <v>4.5</v>
      </c>
      <c r="H68" s="1">
        <v>7.4</v>
      </c>
      <c r="I68" s="1">
        <v>9.9</v>
      </c>
      <c r="J68" s="1">
        <v>8.8000000000000007</v>
      </c>
      <c r="K68" s="1">
        <v>7.8</v>
      </c>
      <c r="L68" s="1">
        <v>5.6</v>
      </c>
      <c r="M68" s="1">
        <v>4.8</v>
      </c>
      <c r="N68" s="1">
        <v>4.7</v>
      </c>
      <c r="O68" s="1">
        <f>ROUND(AVERAGE(C68:N68),2)</f>
        <v>5.59</v>
      </c>
      <c r="P68">
        <v>1940</v>
      </c>
      <c r="Q68">
        <v>0.1</v>
      </c>
      <c r="R68">
        <v>-1.07</v>
      </c>
      <c r="S68">
        <v>-2.85</v>
      </c>
      <c r="T68">
        <v>-7.0000000000000007E-2</v>
      </c>
      <c r="U68">
        <v>3.68</v>
      </c>
      <c r="V68">
        <v>7.6</v>
      </c>
      <c r="W68">
        <v>7.44</v>
      </c>
      <c r="X68">
        <v>8.0500000000000007</v>
      </c>
      <c r="Y68">
        <v>5.0599999999999996</v>
      </c>
      <c r="Z68">
        <v>4.53</v>
      </c>
      <c r="AA68">
        <v>0.2</v>
      </c>
      <c r="AB68">
        <v>1.17</v>
      </c>
      <c r="AC68">
        <v>2.82</v>
      </c>
    </row>
    <row r="69" spans="1:29" x14ac:dyDescent="0.2">
      <c r="A69">
        <v>404</v>
      </c>
      <c r="B69">
        <v>1941</v>
      </c>
      <c r="C69" s="1" t="s">
        <v>14</v>
      </c>
      <c r="D69" s="1" t="s">
        <v>14</v>
      </c>
      <c r="E69" s="1" t="s">
        <v>14</v>
      </c>
      <c r="F69" s="1">
        <v>2.8</v>
      </c>
      <c r="G69" s="1">
        <v>5.6</v>
      </c>
      <c r="H69" s="1">
        <v>7.6</v>
      </c>
      <c r="I69" s="1">
        <v>8.9</v>
      </c>
      <c r="J69" s="1">
        <v>7.2</v>
      </c>
      <c r="K69" s="1" t="s">
        <v>14</v>
      </c>
      <c r="L69" s="1">
        <v>7.7</v>
      </c>
      <c r="M69" s="1" t="s">
        <v>14</v>
      </c>
      <c r="N69" s="1" t="s">
        <v>14</v>
      </c>
      <c r="O69" s="1" t="s">
        <v>14</v>
      </c>
      <c r="P69">
        <v>1941</v>
      </c>
      <c r="Q69">
        <v>-0.7</v>
      </c>
      <c r="R69">
        <v>-3.27</v>
      </c>
      <c r="S69">
        <v>-1.28</v>
      </c>
      <c r="T69">
        <v>1.63</v>
      </c>
      <c r="U69">
        <v>5.03</v>
      </c>
      <c r="V69">
        <v>8.25</v>
      </c>
      <c r="W69">
        <v>9.64</v>
      </c>
      <c r="X69">
        <v>8</v>
      </c>
      <c r="Y69">
        <v>9.2100000000000009</v>
      </c>
      <c r="Z69">
        <v>5.48</v>
      </c>
      <c r="AA69">
        <v>3.85</v>
      </c>
      <c r="AB69">
        <v>2.74</v>
      </c>
      <c r="AC69">
        <v>4.05</v>
      </c>
    </row>
    <row r="70" spans="1:29" x14ac:dyDescent="0.2">
      <c r="A70">
        <v>404</v>
      </c>
      <c r="B70">
        <v>1942</v>
      </c>
      <c r="C70" s="1" t="s">
        <v>14</v>
      </c>
      <c r="D70" s="1" t="s">
        <v>14</v>
      </c>
      <c r="E70" s="1" t="s">
        <v>14</v>
      </c>
      <c r="F70" s="1" t="s">
        <v>14</v>
      </c>
      <c r="G70" s="2">
        <f>ROUND((AJ68+AJ69+AJ71+AJ72)/4+U70,1)</f>
        <v>3.9</v>
      </c>
      <c r="H70" s="1" t="s">
        <v>14</v>
      </c>
      <c r="I70" s="1" t="s">
        <v>14</v>
      </c>
      <c r="J70" s="1" t="s">
        <v>14</v>
      </c>
      <c r="K70" s="1">
        <v>7.1</v>
      </c>
      <c r="L70" s="1">
        <v>5</v>
      </c>
      <c r="M70" s="1">
        <v>4.3</v>
      </c>
      <c r="N70" s="1">
        <v>4.2</v>
      </c>
      <c r="O70" s="1" t="s">
        <v>14</v>
      </c>
      <c r="P70">
        <v>1942</v>
      </c>
      <c r="Q70">
        <v>1.45</v>
      </c>
      <c r="R70">
        <v>-1.07</v>
      </c>
      <c r="S70">
        <v>0.1</v>
      </c>
      <c r="T70">
        <v>1.28</v>
      </c>
      <c r="U70">
        <v>3.88</v>
      </c>
      <c r="V70">
        <v>6.2</v>
      </c>
      <c r="W70">
        <v>7.59</v>
      </c>
      <c r="X70">
        <v>8.9</v>
      </c>
      <c r="Y70">
        <v>5.0599999999999996</v>
      </c>
      <c r="Z70">
        <v>1.68</v>
      </c>
      <c r="AA70">
        <v>2.1</v>
      </c>
      <c r="AB70">
        <v>-0.23</v>
      </c>
      <c r="AC70">
        <v>3.08</v>
      </c>
    </row>
    <row r="71" spans="1:29" x14ac:dyDescent="0.2">
      <c r="A71">
        <v>404</v>
      </c>
      <c r="B71">
        <v>1943</v>
      </c>
      <c r="C71" s="2">
        <f>ROUND((AF72+AF73+AF74+AF75)/4+Q71,1)</f>
        <v>-1.6</v>
      </c>
      <c r="D71" s="2">
        <f>ROUND((AG72+AG73+AG74+AG75)/4+R71,1)</f>
        <v>-4.4000000000000004</v>
      </c>
      <c r="E71" s="1">
        <v>1.1000000000000001</v>
      </c>
      <c r="F71" s="1">
        <v>1.7</v>
      </c>
      <c r="G71" s="1">
        <v>2.4</v>
      </c>
      <c r="H71" s="2">
        <f>ROUND((AK72+AK73+AK74+AK75)/4+V71,1)</f>
        <v>5</v>
      </c>
      <c r="I71" s="2">
        <v>6.2</v>
      </c>
      <c r="J71" s="1">
        <v>7.6</v>
      </c>
      <c r="K71" s="1">
        <v>7.2</v>
      </c>
      <c r="L71" s="1">
        <v>5.5</v>
      </c>
      <c r="M71" s="2">
        <f>ROUND((AP72+AP73+AP74+AP75)/4+AA71,1)</f>
        <v>1.2</v>
      </c>
      <c r="N71" s="2">
        <f>ROUND((AQ72+AQ73+AQ74+AQ75)/4+AB71,1)</f>
        <v>1.9</v>
      </c>
      <c r="O71" s="1">
        <f t="shared" ref="O71:O85" si="2">ROUND(AVERAGE(C71:N71),2)</f>
        <v>2.82</v>
      </c>
      <c r="P71">
        <v>1943</v>
      </c>
      <c r="Q71">
        <v>-1.58</v>
      </c>
      <c r="R71">
        <v>-4.43</v>
      </c>
      <c r="S71">
        <v>-1.1599999999999999</v>
      </c>
      <c r="T71">
        <v>-0.62</v>
      </c>
      <c r="U71">
        <v>1.24</v>
      </c>
      <c r="V71">
        <v>5.04</v>
      </c>
      <c r="W71">
        <v>8.2200000000000006</v>
      </c>
      <c r="X71">
        <v>4.9400000000000004</v>
      </c>
      <c r="Y71">
        <v>5.64</v>
      </c>
      <c r="Z71">
        <v>3.51</v>
      </c>
      <c r="AA71">
        <v>1.22</v>
      </c>
      <c r="AB71">
        <v>1.91</v>
      </c>
      <c r="AC71">
        <v>1.99</v>
      </c>
    </row>
    <row r="72" spans="1:29" x14ac:dyDescent="0.2">
      <c r="A72">
        <v>404</v>
      </c>
      <c r="B72">
        <v>1944</v>
      </c>
      <c r="C72" s="1">
        <v>1.3</v>
      </c>
      <c r="D72" s="1">
        <v>2.1</v>
      </c>
      <c r="E72" s="2">
        <f>ROUND((AH73+AH74+AH75+AH76)/4+S72,1)</f>
        <v>-0.9</v>
      </c>
      <c r="F72" s="2">
        <f>ROUND((AI73+AI74+AI75+AI76)/4+T72,1)</f>
        <v>-1</v>
      </c>
      <c r="G72" s="1">
        <v>2.9</v>
      </c>
      <c r="H72" s="1">
        <v>4.8</v>
      </c>
      <c r="I72" s="2">
        <f>ROUND((AL73+AL74+AL75+AL76)/4+W72,1)</f>
        <v>7.9</v>
      </c>
      <c r="J72" s="2">
        <f>ROUND((AM73+AM74+AM75+AM76)/4+X72,1)</f>
        <v>8.6999999999999993</v>
      </c>
      <c r="K72" s="1">
        <v>8.4</v>
      </c>
      <c r="L72" s="1">
        <v>6.8</v>
      </c>
      <c r="M72" s="1">
        <v>4.9000000000000004</v>
      </c>
      <c r="N72" s="1">
        <v>3.1</v>
      </c>
      <c r="O72" s="1">
        <f t="shared" si="2"/>
        <v>4.08</v>
      </c>
      <c r="P72">
        <v>1944</v>
      </c>
      <c r="Q72">
        <v>-3.24</v>
      </c>
      <c r="R72">
        <v>-1.31</v>
      </c>
      <c r="S72">
        <v>-0.9</v>
      </c>
      <c r="T72">
        <v>-0.99</v>
      </c>
      <c r="U72">
        <v>2.69</v>
      </c>
      <c r="V72">
        <v>5.49</v>
      </c>
      <c r="W72">
        <v>7.89</v>
      </c>
      <c r="X72">
        <v>8.7200000000000006</v>
      </c>
      <c r="Y72">
        <v>6.88</v>
      </c>
      <c r="Z72">
        <v>3.94</v>
      </c>
      <c r="AA72">
        <v>0.44</v>
      </c>
      <c r="AB72">
        <v>-0.54</v>
      </c>
      <c r="AC72">
        <v>2.42</v>
      </c>
    </row>
    <row r="73" spans="1:29" x14ac:dyDescent="0.2">
      <c r="A73">
        <v>404</v>
      </c>
      <c r="B73">
        <v>1945</v>
      </c>
      <c r="C73" s="1">
        <v>1.7</v>
      </c>
      <c r="D73" s="1">
        <v>1.6</v>
      </c>
      <c r="E73" s="1">
        <v>1.8</v>
      </c>
      <c r="F73" s="1">
        <v>2.2999999999999998</v>
      </c>
      <c r="G73" s="1">
        <v>3.9</v>
      </c>
      <c r="H73" s="1">
        <v>5.6</v>
      </c>
      <c r="I73" s="1">
        <v>9.1999999999999993</v>
      </c>
      <c r="J73" s="1">
        <v>9.6</v>
      </c>
      <c r="K73" s="1">
        <v>8</v>
      </c>
      <c r="L73" s="1">
        <v>6</v>
      </c>
      <c r="M73" s="1">
        <v>4.5</v>
      </c>
      <c r="N73" s="1">
        <v>4.2</v>
      </c>
      <c r="O73" s="1">
        <f t="shared" si="2"/>
        <v>4.87</v>
      </c>
      <c r="P73">
        <v>1945</v>
      </c>
      <c r="Q73">
        <v>-2.93</v>
      </c>
      <c r="R73">
        <v>-1.01</v>
      </c>
      <c r="S73">
        <v>1.66</v>
      </c>
      <c r="T73">
        <v>1.05</v>
      </c>
      <c r="U73">
        <v>3.15</v>
      </c>
      <c r="V73">
        <v>5.9</v>
      </c>
      <c r="W73">
        <v>8.84</v>
      </c>
      <c r="X73">
        <v>9.3000000000000007</v>
      </c>
      <c r="Y73">
        <v>7.41</v>
      </c>
      <c r="Z73">
        <v>5.19</v>
      </c>
      <c r="AA73">
        <v>2.95</v>
      </c>
      <c r="AB73">
        <v>-0.47</v>
      </c>
      <c r="AC73">
        <v>3.42</v>
      </c>
    </row>
    <row r="74" spans="1:29" x14ac:dyDescent="0.2">
      <c r="A74">
        <v>404</v>
      </c>
      <c r="B74">
        <v>1946</v>
      </c>
      <c r="C74" s="1">
        <v>3.6</v>
      </c>
      <c r="D74" s="1">
        <v>2.6</v>
      </c>
      <c r="E74" s="1">
        <v>2.6</v>
      </c>
      <c r="F74" s="1">
        <v>3.2</v>
      </c>
      <c r="G74" s="1">
        <v>4.8</v>
      </c>
      <c r="H74" s="1">
        <v>6.1</v>
      </c>
      <c r="I74" s="1">
        <v>7.7</v>
      </c>
      <c r="J74" s="1">
        <v>8.1999999999999993</v>
      </c>
      <c r="K74" s="1">
        <v>7.5</v>
      </c>
      <c r="L74" s="1">
        <v>7.4</v>
      </c>
      <c r="M74" s="1">
        <v>3.9</v>
      </c>
      <c r="N74" s="1">
        <v>3.6</v>
      </c>
      <c r="O74" s="1">
        <f t="shared" si="2"/>
        <v>5.0999999999999996</v>
      </c>
      <c r="P74">
        <v>1946</v>
      </c>
      <c r="Q74">
        <v>2.64</v>
      </c>
      <c r="R74">
        <v>-1.5</v>
      </c>
      <c r="S74">
        <v>0.46</v>
      </c>
      <c r="T74">
        <v>0.93</v>
      </c>
      <c r="U74">
        <v>4.5999999999999996</v>
      </c>
      <c r="V74">
        <v>4.4000000000000004</v>
      </c>
      <c r="W74">
        <v>7.8</v>
      </c>
      <c r="X74">
        <v>7.82</v>
      </c>
      <c r="Y74">
        <v>6.46</v>
      </c>
      <c r="Z74">
        <v>6.96</v>
      </c>
      <c r="AA74">
        <v>0.85</v>
      </c>
      <c r="AB74">
        <v>2.93</v>
      </c>
      <c r="AC74">
        <v>3.7</v>
      </c>
    </row>
    <row r="75" spans="1:29" x14ac:dyDescent="0.2">
      <c r="A75">
        <v>404</v>
      </c>
      <c r="B75">
        <v>1947</v>
      </c>
      <c r="C75" s="1">
        <v>4</v>
      </c>
      <c r="D75" s="1">
        <v>2.4</v>
      </c>
      <c r="E75" s="1">
        <v>1.7</v>
      </c>
      <c r="F75" s="1">
        <v>2.6</v>
      </c>
      <c r="G75" s="1">
        <v>3.7</v>
      </c>
      <c r="H75" s="1">
        <v>6.2</v>
      </c>
      <c r="I75" s="1">
        <v>8.1</v>
      </c>
      <c r="J75" s="1">
        <v>9.3000000000000007</v>
      </c>
      <c r="K75" s="1">
        <v>8.8000000000000007</v>
      </c>
      <c r="L75" s="1">
        <v>6.7</v>
      </c>
      <c r="M75" s="1">
        <v>4.5</v>
      </c>
      <c r="N75" s="1">
        <v>2.7</v>
      </c>
      <c r="O75" s="1">
        <f t="shared" si="2"/>
        <v>5.0599999999999996</v>
      </c>
      <c r="P75">
        <v>1947</v>
      </c>
      <c r="Q75">
        <v>3.14</v>
      </c>
      <c r="R75">
        <v>-1.78</v>
      </c>
      <c r="S75">
        <v>-3.94</v>
      </c>
      <c r="T75">
        <v>-1</v>
      </c>
      <c r="U75">
        <v>4.3899999999999997</v>
      </c>
      <c r="V75">
        <v>6.24</v>
      </c>
      <c r="W75">
        <v>8.6999999999999993</v>
      </c>
      <c r="X75">
        <v>10.45</v>
      </c>
      <c r="Y75">
        <v>6.86</v>
      </c>
      <c r="Z75">
        <v>5.29</v>
      </c>
      <c r="AA75">
        <v>-0.5</v>
      </c>
      <c r="AB75">
        <v>-0.56999999999999995</v>
      </c>
      <c r="AC75">
        <v>3.11</v>
      </c>
    </row>
    <row r="76" spans="1:29" x14ac:dyDescent="0.2">
      <c r="A76">
        <v>404</v>
      </c>
      <c r="B76">
        <v>1948</v>
      </c>
      <c r="C76" s="1">
        <v>2</v>
      </c>
      <c r="D76" s="1">
        <v>2.4</v>
      </c>
      <c r="E76" s="1">
        <v>3.3</v>
      </c>
      <c r="F76" s="1">
        <v>2.1</v>
      </c>
      <c r="G76" s="1">
        <v>3.6</v>
      </c>
      <c r="H76" s="1">
        <v>5.9</v>
      </c>
      <c r="I76" s="1">
        <v>6.7</v>
      </c>
      <c r="J76" s="1">
        <v>8.5</v>
      </c>
      <c r="K76" s="1">
        <v>7.9</v>
      </c>
      <c r="L76" s="1">
        <v>5.9</v>
      </c>
      <c r="M76" s="1">
        <v>4.3</v>
      </c>
      <c r="N76" s="1">
        <v>3</v>
      </c>
      <c r="O76" s="1">
        <f t="shared" si="2"/>
        <v>4.63</v>
      </c>
      <c r="P76">
        <v>1948</v>
      </c>
      <c r="Q76">
        <v>0.28999999999999998</v>
      </c>
      <c r="R76">
        <v>1.55</v>
      </c>
      <c r="S76">
        <v>2.0299999999999998</v>
      </c>
      <c r="T76">
        <v>-0.84</v>
      </c>
      <c r="U76">
        <v>1.9</v>
      </c>
      <c r="V76">
        <v>5.42</v>
      </c>
      <c r="W76">
        <v>7.37</v>
      </c>
      <c r="X76">
        <v>8.67</v>
      </c>
      <c r="Y76">
        <v>4.59</v>
      </c>
      <c r="Z76">
        <v>2.76</v>
      </c>
      <c r="AA76">
        <v>1.49</v>
      </c>
      <c r="AB76">
        <v>-0.74</v>
      </c>
      <c r="AC76">
        <v>2.87</v>
      </c>
    </row>
    <row r="77" spans="1:29" x14ac:dyDescent="0.2">
      <c r="A77">
        <v>404</v>
      </c>
      <c r="B77">
        <v>1949</v>
      </c>
      <c r="C77" s="1">
        <v>1.5</v>
      </c>
      <c r="D77" s="1">
        <v>1</v>
      </c>
      <c r="E77" s="1">
        <v>0.7</v>
      </c>
      <c r="F77" s="1">
        <v>-0.1</v>
      </c>
      <c r="G77" s="1">
        <v>1.4</v>
      </c>
      <c r="H77" s="1">
        <v>3.5</v>
      </c>
      <c r="I77" s="1">
        <v>6.2</v>
      </c>
      <c r="J77" s="1">
        <v>7.6</v>
      </c>
      <c r="K77" s="2">
        <f>ROUND((AN75+AN76+AN73+AN74)/4+Y77,1)</f>
        <v>7.3</v>
      </c>
      <c r="L77" s="1">
        <v>6.3</v>
      </c>
      <c r="M77" s="1">
        <v>5</v>
      </c>
      <c r="N77" s="1">
        <v>3.2</v>
      </c>
      <c r="O77" s="1">
        <f t="shared" si="2"/>
        <v>3.63</v>
      </c>
      <c r="P77">
        <v>1949</v>
      </c>
      <c r="Q77">
        <v>-3.06</v>
      </c>
      <c r="R77">
        <v>-0.7</v>
      </c>
      <c r="S77">
        <v>-1.53</v>
      </c>
      <c r="T77">
        <v>-3.08</v>
      </c>
      <c r="U77">
        <v>-0.25</v>
      </c>
      <c r="V77">
        <v>6.92</v>
      </c>
      <c r="W77">
        <v>8.27</v>
      </c>
      <c r="X77">
        <v>7.47</v>
      </c>
      <c r="Y77">
        <v>7.34</v>
      </c>
      <c r="Z77">
        <v>3.11</v>
      </c>
      <c r="AA77">
        <v>2.21</v>
      </c>
      <c r="AB77">
        <v>-0.4</v>
      </c>
      <c r="AC77">
        <v>2.19</v>
      </c>
    </row>
    <row r="78" spans="1:29" x14ac:dyDescent="0.2">
      <c r="A78">
        <v>404</v>
      </c>
      <c r="B78">
        <v>1950</v>
      </c>
      <c r="C78" s="1">
        <v>2.7</v>
      </c>
      <c r="D78" s="1">
        <v>2.2000000000000002</v>
      </c>
      <c r="E78" s="1">
        <v>2.2000000000000002</v>
      </c>
      <c r="F78" s="1">
        <v>2.5</v>
      </c>
      <c r="G78" s="1">
        <v>4.7</v>
      </c>
      <c r="H78" s="1">
        <v>6.2</v>
      </c>
      <c r="I78" s="2">
        <f>ROUND((AL76+AL77+AL79+AL80)/4+W78,1)</f>
        <v>8.1999999999999993</v>
      </c>
      <c r="J78" s="2">
        <f>ROUND((AM76+AM77+AM79+AM80)/4+X78,1)</f>
        <v>8.5</v>
      </c>
      <c r="K78" s="2">
        <f t="shared" ref="K78:N78" si="3">ROUND((AN76+AN77+AN79+AN80)/4+Y78,1)</f>
        <v>5.4</v>
      </c>
      <c r="L78" s="2">
        <f t="shared" si="3"/>
        <v>3.1</v>
      </c>
      <c r="M78" s="2">
        <f t="shared" si="3"/>
        <v>1.1000000000000001</v>
      </c>
      <c r="N78" s="2">
        <f t="shared" si="3"/>
        <v>-1.8</v>
      </c>
      <c r="O78" s="1">
        <f t="shared" si="2"/>
        <v>3.75</v>
      </c>
      <c r="P78">
        <v>1950</v>
      </c>
      <c r="Q78">
        <v>2.41</v>
      </c>
      <c r="R78">
        <v>-1.1599999999999999</v>
      </c>
      <c r="S78">
        <v>-0.36</v>
      </c>
      <c r="T78">
        <v>-1.35</v>
      </c>
      <c r="U78">
        <v>4.0199999999999996</v>
      </c>
      <c r="V78">
        <v>6.23</v>
      </c>
      <c r="W78">
        <v>8.24</v>
      </c>
      <c r="X78">
        <v>8.5399999999999991</v>
      </c>
      <c r="Y78">
        <v>5.36</v>
      </c>
      <c r="Z78">
        <v>3.13</v>
      </c>
      <c r="AA78">
        <v>1.1000000000000001</v>
      </c>
      <c r="AB78">
        <v>-1.79</v>
      </c>
      <c r="AC78">
        <v>2.86</v>
      </c>
    </row>
    <row r="79" spans="1:29" x14ac:dyDescent="0.2">
      <c r="A79">
        <v>404</v>
      </c>
      <c r="B79">
        <v>1951</v>
      </c>
      <c r="C79" s="2">
        <f>ROUND((AF77+AF78+AF80+AF81)/4+Q79,1)</f>
        <v>-1.4</v>
      </c>
      <c r="D79" s="2">
        <f>ROUND((AG77+AG78+AG80+AG81)/4+R79,1)</f>
        <v>-0.5</v>
      </c>
      <c r="E79" s="2">
        <v>1.7</v>
      </c>
      <c r="F79" s="2">
        <f>ROUND((AI77+AI78+AI75+AI76)/4+T79,1)</f>
        <v>-2.7</v>
      </c>
      <c r="G79" s="2">
        <f>ROUND((AJ77+AJ78+AJ80+AJ81)/4+U79,1)</f>
        <v>3.6</v>
      </c>
      <c r="H79" s="2">
        <f>ROUND((AK77+AK78+AK75+AK76)/4+V79,1)</f>
        <v>5.0999999999999996</v>
      </c>
      <c r="I79" s="1">
        <v>7</v>
      </c>
      <c r="J79" s="1">
        <v>8.1999999999999993</v>
      </c>
      <c r="K79" s="1">
        <v>7.1</v>
      </c>
      <c r="L79" s="1">
        <v>6</v>
      </c>
      <c r="M79" s="1">
        <v>3.9</v>
      </c>
      <c r="N79" s="1">
        <v>2.5</v>
      </c>
      <c r="O79" s="1">
        <f t="shared" si="2"/>
        <v>3.38</v>
      </c>
      <c r="P79">
        <v>1951</v>
      </c>
      <c r="Q79">
        <v>-1.44</v>
      </c>
      <c r="R79">
        <v>-0.53</v>
      </c>
      <c r="S79">
        <v>-3.93</v>
      </c>
      <c r="T79">
        <v>-2.69</v>
      </c>
      <c r="U79">
        <v>3.61</v>
      </c>
      <c r="V79">
        <v>5.14</v>
      </c>
      <c r="W79">
        <v>7.8</v>
      </c>
      <c r="X79">
        <v>7.8</v>
      </c>
      <c r="Y79">
        <v>6.09</v>
      </c>
      <c r="Z79">
        <v>3.97</v>
      </c>
      <c r="AA79">
        <v>0.69</v>
      </c>
      <c r="AB79">
        <v>-0.76</v>
      </c>
      <c r="AC79">
        <v>2.15</v>
      </c>
    </row>
    <row r="80" spans="1:29" x14ac:dyDescent="0.2">
      <c r="A80">
        <v>404</v>
      </c>
      <c r="B80">
        <v>1952</v>
      </c>
      <c r="C80" s="1">
        <v>1.5</v>
      </c>
      <c r="D80" s="1">
        <v>1.1000000000000001</v>
      </c>
      <c r="E80" s="1">
        <v>1.2</v>
      </c>
      <c r="F80" s="1">
        <v>1.4</v>
      </c>
      <c r="G80" s="1">
        <v>2.6</v>
      </c>
      <c r="H80" s="2">
        <v>4.4000000000000004</v>
      </c>
      <c r="I80" s="1">
        <v>6.5</v>
      </c>
      <c r="J80" s="1">
        <v>8.8000000000000007</v>
      </c>
      <c r="K80" s="1">
        <v>6.7</v>
      </c>
      <c r="L80" s="1">
        <v>5.0999999999999996</v>
      </c>
      <c r="M80" s="1">
        <v>3.9</v>
      </c>
      <c r="N80" s="1">
        <v>3</v>
      </c>
      <c r="O80" s="1">
        <f t="shared" si="2"/>
        <v>3.85</v>
      </c>
      <c r="P80">
        <v>1952</v>
      </c>
      <c r="Q80">
        <v>-1.96</v>
      </c>
      <c r="R80">
        <v>-1.06</v>
      </c>
      <c r="S80">
        <v>-0.77</v>
      </c>
      <c r="T80">
        <v>0.24</v>
      </c>
      <c r="U80">
        <v>2.19</v>
      </c>
      <c r="V80">
        <v>3.27</v>
      </c>
      <c r="W80">
        <v>7.56</v>
      </c>
      <c r="X80">
        <v>7.09</v>
      </c>
      <c r="Y80">
        <v>5.66</v>
      </c>
      <c r="Z80">
        <v>4.96</v>
      </c>
      <c r="AA80">
        <v>1.99</v>
      </c>
      <c r="AB80">
        <v>0.33</v>
      </c>
      <c r="AC80">
        <v>2.46</v>
      </c>
    </row>
    <row r="81" spans="1:29" x14ac:dyDescent="0.2">
      <c r="A81">
        <v>404</v>
      </c>
      <c r="B81">
        <v>1953</v>
      </c>
      <c r="C81" s="1">
        <v>3</v>
      </c>
      <c r="D81" s="1">
        <v>2.5</v>
      </c>
      <c r="E81" s="1">
        <v>3.3</v>
      </c>
      <c r="F81" s="1">
        <v>2.2000000000000002</v>
      </c>
      <c r="G81" s="1">
        <v>3.3</v>
      </c>
      <c r="H81" s="2">
        <f>ROUND((AK82+AK83+AK84+AK85)/4+V81,1)</f>
        <v>8.6</v>
      </c>
      <c r="I81" s="2">
        <f>ROUND((AL79+AL80+AL82+AL83)/4+W81,1)</f>
        <v>8.8000000000000007</v>
      </c>
      <c r="J81" s="1">
        <v>9.8000000000000007</v>
      </c>
      <c r="K81" s="1">
        <v>8.6</v>
      </c>
      <c r="L81" s="1">
        <v>5.4</v>
      </c>
      <c r="M81" s="1">
        <v>5.2</v>
      </c>
      <c r="N81" s="1">
        <v>4.5999999999999996</v>
      </c>
      <c r="O81" s="1">
        <f t="shared" si="2"/>
        <v>5.44</v>
      </c>
      <c r="P81">
        <v>1953</v>
      </c>
      <c r="Q81">
        <v>-0.35</v>
      </c>
      <c r="R81">
        <v>0.67</v>
      </c>
      <c r="S81">
        <v>0.67</v>
      </c>
      <c r="T81">
        <v>-3.09</v>
      </c>
      <c r="U81">
        <v>3.75</v>
      </c>
      <c r="V81">
        <v>8.61</v>
      </c>
      <c r="W81">
        <v>8.83</v>
      </c>
      <c r="X81">
        <v>9.5</v>
      </c>
      <c r="Y81">
        <v>7.88</v>
      </c>
      <c r="Z81">
        <v>4.17</v>
      </c>
      <c r="AA81">
        <v>2.35</v>
      </c>
      <c r="AB81">
        <v>3.49</v>
      </c>
      <c r="AC81">
        <v>3.87</v>
      </c>
    </row>
    <row r="82" spans="1:29" x14ac:dyDescent="0.2">
      <c r="A82">
        <v>404</v>
      </c>
      <c r="B82">
        <v>1954</v>
      </c>
      <c r="C82" s="1">
        <v>2.9</v>
      </c>
      <c r="D82" s="1">
        <v>2.4</v>
      </c>
      <c r="E82" s="1">
        <v>1.7</v>
      </c>
      <c r="F82" s="1">
        <v>3.1</v>
      </c>
      <c r="G82" s="1">
        <v>4.7</v>
      </c>
      <c r="H82" s="1">
        <v>6</v>
      </c>
      <c r="I82" s="1">
        <v>7.4</v>
      </c>
      <c r="J82" s="1">
        <v>8.1999999999999993</v>
      </c>
      <c r="K82" s="1">
        <v>6.5</v>
      </c>
      <c r="L82" s="1">
        <v>5.5</v>
      </c>
      <c r="M82" s="1">
        <v>4.2</v>
      </c>
      <c r="N82" s="1">
        <v>3.4</v>
      </c>
      <c r="O82" s="1">
        <f t="shared" si="2"/>
        <v>4.67</v>
      </c>
      <c r="P82">
        <v>1954</v>
      </c>
      <c r="Q82">
        <v>1.47</v>
      </c>
      <c r="R82">
        <v>0.17</v>
      </c>
      <c r="S82">
        <v>-1.01</v>
      </c>
      <c r="T82">
        <v>1.98</v>
      </c>
      <c r="U82">
        <v>4.4400000000000004</v>
      </c>
      <c r="V82">
        <v>6.13</v>
      </c>
      <c r="W82">
        <v>7.19</v>
      </c>
      <c r="X82">
        <v>8.09</v>
      </c>
      <c r="Y82">
        <v>4.25</v>
      </c>
      <c r="Z82">
        <v>2.56</v>
      </c>
      <c r="AA82">
        <v>2.95</v>
      </c>
      <c r="AB82">
        <v>0.11</v>
      </c>
      <c r="AC82">
        <v>3.19</v>
      </c>
    </row>
    <row r="83" spans="1:29" x14ac:dyDescent="0.2">
      <c r="A83">
        <v>404</v>
      </c>
      <c r="B83">
        <v>1955</v>
      </c>
      <c r="C83" s="1">
        <v>2.5</v>
      </c>
      <c r="D83" s="1">
        <v>1.6</v>
      </c>
      <c r="E83" s="1">
        <v>1.7</v>
      </c>
      <c r="F83" s="1">
        <v>3.2</v>
      </c>
      <c r="G83" s="1">
        <v>4.7</v>
      </c>
      <c r="H83" s="1">
        <v>7.7</v>
      </c>
      <c r="I83" s="1">
        <v>11.1</v>
      </c>
      <c r="J83" s="1">
        <v>11</v>
      </c>
      <c r="K83" s="2">
        <f>ROUND((AN81+AN82+AN84+AN85)/4+Y83,1)</f>
        <v>6.7</v>
      </c>
      <c r="L83" s="2">
        <f>ROUND((AO79+AO80+AO81+AO82)/4+Z83,1)</f>
        <v>2.9</v>
      </c>
      <c r="M83" s="1">
        <v>5.0999999999999996</v>
      </c>
      <c r="N83" s="1">
        <v>2.8</v>
      </c>
      <c r="O83" s="1">
        <f t="shared" si="2"/>
        <v>5.08</v>
      </c>
      <c r="P83">
        <v>1955</v>
      </c>
      <c r="Q83">
        <v>-2.09</v>
      </c>
      <c r="R83">
        <v>-1.71</v>
      </c>
      <c r="S83">
        <v>-0.45</v>
      </c>
      <c r="T83">
        <v>1.96</v>
      </c>
      <c r="U83">
        <v>2.56</v>
      </c>
      <c r="V83">
        <v>6.74</v>
      </c>
      <c r="W83">
        <v>10.220000000000001</v>
      </c>
      <c r="X83">
        <v>9.83</v>
      </c>
      <c r="Y83">
        <v>6.74</v>
      </c>
      <c r="Z83">
        <v>2.85</v>
      </c>
      <c r="AA83">
        <v>1.95</v>
      </c>
      <c r="AB83">
        <v>-2.34</v>
      </c>
      <c r="AC83">
        <v>3.02</v>
      </c>
    </row>
    <row r="84" spans="1:29" x14ac:dyDescent="0.2">
      <c r="A84">
        <v>404</v>
      </c>
      <c r="B84">
        <v>1956</v>
      </c>
      <c r="C84" s="1">
        <v>1.1000000000000001</v>
      </c>
      <c r="D84" s="1">
        <v>1.3</v>
      </c>
      <c r="E84" s="1">
        <v>1.3</v>
      </c>
      <c r="F84" s="1">
        <v>2.5</v>
      </c>
      <c r="G84" s="1">
        <v>4.9000000000000004</v>
      </c>
      <c r="H84" s="1">
        <v>6.3</v>
      </c>
      <c r="I84" s="1">
        <v>7.9</v>
      </c>
      <c r="J84" s="1">
        <v>7.3</v>
      </c>
      <c r="K84" s="1">
        <v>5.9</v>
      </c>
      <c r="L84" s="1">
        <v>5.3</v>
      </c>
      <c r="M84" s="1">
        <v>4.8</v>
      </c>
      <c r="N84" s="1">
        <v>3.9</v>
      </c>
      <c r="O84" s="1">
        <f t="shared" si="2"/>
        <v>4.38</v>
      </c>
      <c r="P84">
        <v>1956</v>
      </c>
      <c r="Q84">
        <v>-3.09</v>
      </c>
      <c r="R84">
        <v>1.76</v>
      </c>
      <c r="S84">
        <v>1.59</v>
      </c>
      <c r="T84">
        <v>-0.05</v>
      </c>
      <c r="U84">
        <v>3.32</v>
      </c>
      <c r="V84">
        <v>5.31</v>
      </c>
      <c r="W84">
        <v>7.11</v>
      </c>
      <c r="X84">
        <v>6.13</v>
      </c>
      <c r="Y84">
        <v>6.16</v>
      </c>
      <c r="Z84">
        <v>3.35</v>
      </c>
      <c r="AA84">
        <v>3.84</v>
      </c>
      <c r="AB84">
        <v>1.91</v>
      </c>
      <c r="AC84">
        <v>3.11</v>
      </c>
    </row>
    <row r="85" spans="1:29" x14ac:dyDescent="0.2">
      <c r="A85">
        <v>404</v>
      </c>
      <c r="B85">
        <v>1957</v>
      </c>
      <c r="C85" s="1">
        <v>3.6</v>
      </c>
      <c r="D85" s="1">
        <v>2.5</v>
      </c>
      <c r="E85" s="1">
        <v>1.6</v>
      </c>
      <c r="F85" s="1">
        <v>2.6</v>
      </c>
      <c r="G85" s="1">
        <v>3.3</v>
      </c>
      <c r="H85" s="1">
        <v>6</v>
      </c>
      <c r="I85" s="1">
        <v>8.5</v>
      </c>
      <c r="J85" s="1">
        <v>8.6999999999999993</v>
      </c>
      <c r="K85" s="1">
        <v>8.4</v>
      </c>
      <c r="L85" s="2">
        <f>ROUND((AO81+AO82+AO83+AO84)/4+Z85,1)</f>
        <v>3.6</v>
      </c>
      <c r="M85" s="2">
        <f>ROUND((AP81+AP82+AP83+AP84)/4+AA85,1)</f>
        <v>3.1</v>
      </c>
      <c r="N85" s="1">
        <v>1.9</v>
      </c>
      <c r="O85" s="1">
        <f t="shared" si="2"/>
        <v>4.4800000000000004</v>
      </c>
      <c r="P85">
        <v>1957</v>
      </c>
      <c r="Q85">
        <v>1.96</v>
      </c>
      <c r="R85">
        <v>-2.1</v>
      </c>
      <c r="S85">
        <v>-0.6</v>
      </c>
      <c r="T85">
        <v>2.72</v>
      </c>
      <c r="U85">
        <v>3.62</v>
      </c>
      <c r="V85">
        <v>6.6</v>
      </c>
      <c r="W85">
        <v>7.92</v>
      </c>
      <c r="X85">
        <v>8.8699999999999992</v>
      </c>
      <c r="Y85">
        <v>5.85</v>
      </c>
      <c r="Z85">
        <v>3.58</v>
      </c>
      <c r="AA85">
        <v>3.07</v>
      </c>
      <c r="AB85">
        <v>-0.17</v>
      </c>
      <c r="AC85">
        <v>3.44</v>
      </c>
    </row>
    <row r="86" spans="1:29" x14ac:dyDescent="0.2">
      <c r="A86">
        <v>404</v>
      </c>
      <c r="B86">
        <v>1958</v>
      </c>
      <c r="C86" s="1">
        <v>1.1000000000000001</v>
      </c>
      <c r="D86" s="1" t="s">
        <v>14</v>
      </c>
      <c r="E86" s="1" t="s">
        <v>14</v>
      </c>
      <c r="F86" s="1" t="s">
        <v>14</v>
      </c>
      <c r="G86" s="1">
        <v>3</v>
      </c>
      <c r="H86" s="1" t="s">
        <v>14</v>
      </c>
      <c r="I86" s="1" t="s">
        <v>14</v>
      </c>
      <c r="J86" s="1" t="s">
        <v>14</v>
      </c>
      <c r="K86" s="1" t="s">
        <v>14</v>
      </c>
      <c r="L86" s="1" t="s">
        <v>14</v>
      </c>
      <c r="M86" s="1" t="s">
        <v>14</v>
      </c>
      <c r="N86" s="1" t="s">
        <v>14</v>
      </c>
      <c r="O86" s="1" t="s">
        <v>14</v>
      </c>
      <c r="P86">
        <v>1958</v>
      </c>
      <c r="Q86">
        <v>-1.36</v>
      </c>
      <c r="R86">
        <v>-2.4300000000000002</v>
      </c>
      <c r="S86">
        <v>-1.19</v>
      </c>
      <c r="T86">
        <v>1.83</v>
      </c>
      <c r="U86">
        <v>1.7</v>
      </c>
      <c r="V86">
        <v>6.32</v>
      </c>
      <c r="W86">
        <v>7.24</v>
      </c>
      <c r="X86">
        <v>6.04</v>
      </c>
      <c r="Y86">
        <v>8.4499999999999993</v>
      </c>
      <c r="Z86">
        <v>5.13</v>
      </c>
      <c r="AA86">
        <v>3.54</v>
      </c>
      <c r="AB86">
        <v>-0.22</v>
      </c>
      <c r="AC86">
        <v>2.92</v>
      </c>
    </row>
    <row r="87" spans="1:29" x14ac:dyDescent="0.2">
      <c r="A87">
        <v>404</v>
      </c>
      <c r="B87">
        <v>1959</v>
      </c>
      <c r="C87" s="1" t="s">
        <v>14</v>
      </c>
      <c r="D87" s="1" t="s">
        <v>14</v>
      </c>
      <c r="E87" s="1" t="s">
        <v>14</v>
      </c>
      <c r="F87" s="1" t="s">
        <v>14</v>
      </c>
      <c r="G87" s="1" t="s">
        <v>14</v>
      </c>
      <c r="H87" s="1" t="s">
        <v>14</v>
      </c>
      <c r="I87" s="1" t="s">
        <v>14</v>
      </c>
      <c r="J87" s="1" t="s">
        <v>14</v>
      </c>
      <c r="K87" s="1" t="s">
        <v>14</v>
      </c>
      <c r="L87" s="1" t="s">
        <v>14</v>
      </c>
      <c r="M87" s="1" t="s">
        <v>14</v>
      </c>
      <c r="N87" s="1" t="s">
        <v>14</v>
      </c>
      <c r="O87" s="1" t="s">
        <v>14</v>
      </c>
      <c r="P87">
        <v>1959</v>
      </c>
      <c r="Q87">
        <v>-3.04</v>
      </c>
      <c r="R87">
        <v>1.58</v>
      </c>
      <c r="S87">
        <v>2.04</v>
      </c>
      <c r="T87">
        <v>-0.71</v>
      </c>
      <c r="U87">
        <v>4.62</v>
      </c>
      <c r="V87">
        <v>6.01</v>
      </c>
      <c r="W87">
        <v>8.42</v>
      </c>
      <c r="X87">
        <v>7.17</v>
      </c>
      <c r="Y87">
        <v>7.96</v>
      </c>
      <c r="Z87">
        <v>6.61</v>
      </c>
      <c r="AA87">
        <v>1.69</v>
      </c>
      <c r="AB87">
        <v>1.3</v>
      </c>
      <c r="AC87">
        <v>3.64</v>
      </c>
    </row>
    <row r="88" spans="1:29" x14ac:dyDescent="0.2">
      <c r="A88">
        <v>404</v>
      </c>
      <c r="B88">
        <v>1960</v>
      </c>
      <c r="C88" s="1" t="s">
        <v>14</v>
      </c>
      <c r="D88" s="1" t="s">
        <v>14</v>
      </c>
      <c r="E88" s="1" t="s">
        <v>14</v>
      </c>
      <c r="F88" s="1" t="s">
        <v>14</v>
      </c>
      <c r="G88" s="1" t="s">
        <v>14</v>
      </c>
      <c r="H88" s="1" t="s">
        <v>14</v>
      </c>
      <c r="I88" s="1" t="s">
        <v>14</v>
      </c>
      <c r="J88" s="1">
        <v>8.8000000000000007</v>
      </c>
      <c r="K88" s="1">
        <v>8.3000000000000007</v>
      </c>
      <c r="L88" s="1">
        <v>7.3</v>
      </c>
      <c r="M88" s="1">
        <v>6.6</v>
      </c>
      <c r="N88" s="1">
        <v>5.0999999999999996</v>
      </c>
      <c r="O88" s="1" t="s">
        <v>14</v>
      </c>
      <c r="P88">
        <v>1960</v>
      </c>
      <c r="Q88">
        <v>1</v>
      </c>
      <c r="R88">
        <v>-2.2400000000000002</v>
      </c>
      <c r="S88">
        <v>1.38</v>
      </c>
      <c r="T88">
        <v>1.87</v>
      </c>
      <c r="U88">
        <v>5.12</v>
      </c>
      <c r="V88">
        <v>7.78</v>
      </c>
      <c r="W88">
        <v>8.6999999999999993</v>
      </c>
      <c r="X88">
        <v>7.86</v>
      </c>
      <c r="Y88">
        <v>7.12</v>
      </c>
      <c r="Z88">
        <v>4.58</v>
      </c>
      <c r="AA88">
        <v>3.94</v>
      </c>
      <c r="AB88">
        <v>0.78</v>
      </c>
      <c r="AC88">
        <v>3.99</v>
      </c>
    </row>
    <row r="89" spans="1:29" x14ac:dyDescent="0.2">
      <c r="A89">
        <v>404</v>
      </c>
      <c r="B89">
        <v>1961</v>
      </c>
      <c r="C89" s="1">
        <v>4.2</v>
      </c>
      <c r="D89" s="1">
        <v>3.4</v>
      </c>
      <c r="E89" s="1">
        <v>3.1</v>
      </c>
      <c r="F89" s="1">
        <v>3</v>
      </c>
      <c r="G89" s="1">
        <v>4.3</v>
      </c>
      <c r="H89" s="1">
        <v>5.7</v>
      </c>
      <c r="I89" s="1">
        <v>8.4</v>
      </c>
      <c r="J89" s="1">
        <v>9.1999999999999993</v>
      </c>
      <c r="K89" s="1">
        <v>8.1</v>
      </c>
      <c r="L89" s="1">
        <v>6.8</v>
      </c>
      <c r="M89" s="1">
        <v>5.8</v>
      </c>
      <c r="N89" s="1">
        <v>3.8</v>
      </c>
      <c r="O89" s="1">
        <f>ROUND(AVERAGE(C89:N89),2)</f>
        <v>5.48</v>
      </c>
      <c r="P89">
        <v>1961</v>
      </c>
      <c r="Q89">
        <v>1.6</v>
      </c>
      <c r="R89">
        <v>0.31</v>
      </c>
      <c r="S89">
        <v>-1.22</v>
      </c>
      <c r="T89">
        <v>-1.33</v>
      </c>
      <c r="U89">
        <v>4.8</v>
      </c>
      <c r="V89">
        <v>5.92</v>
      </c>
      <c r="W89">
        <v>8.07</v>
      </c>
      <c r="X89">
        <v>8.5299999999999994</v>
      </c>
      <c r="Y89">
        <v>7.57</v>
      </c>
      <c r="Z89">
        <v>4.9400000000000004</v>
      </c>
      <c r="AA89">
        <v>2.2599999999999998</v>
      </c>
      <c r="AB89">
        <v>-1.43</v>
      </c>
      <c r="AC89">
        <v>3.34</v>
      </c>
    </row>
    <row r="90" spans="1:29" x14ac:dyDescent="0.2">
      <c r="A90">
        <v>404</v>
      </c>
      <c r="B90">
        <v>1962</v>
      </c>
      <c r="C90" s="1">
        <v>2.6</v>
      </c>
      <c r="D90" s="1">
        <v>1.5</v>
      </c>
      <c r="E90" s="1">
        <v>1.7</v>
      </c>
      <c r="F90" s="1">
        <v>2.6</v>
      </c>
      <c r="G90" s="1">
        <v>3.8</v>
      </c>
      <c r="H90" s="1">
        <v>6</v>
      </c>
      <c r="I90" s="1">
        <v>7.5</v>
      </c>
      <c r="J90" s="1">
        <v>8.1</v>
      </c>
      <c r="K90" s="1">
        <v>8</v>
      </c>
      <c r="L90" s="1">
        <v>5.9</v>
      </c>
      <c r="M90" s="1">
        <v>5</v>
      </c>
      <c r="N90" s="1">
        <v>3.5</v>
      </c>
      <c r="O90" s="1">
        <f t="shared" ref="O90:O100" si="4">ROUND(AVERAGE(C90:N90),2)</f>
        <v>4.68</v>
      </c>
      <c r="P90">
        <v>1962</v>
      </c>
      <c r="Q90">
        <v>0.94</v>
      </c>
      <c r="R90">
        <v>-0.74</v>
      </c>
      <c r="S90">
        <v>-3.36</v>
      </c>
      <c r="T90">
        <v>2.17</v>
      </c>
      <c r="U90">
        <v>3.94</v>
      </c>
      <c r="V90">
        <v>5.8</v>
      </c>
      <c r="W90">
        <v>8.15</v>
      </c>
      <c r="X90">
        <v>6.94</v>
      </c>
      <c r="Y90">
        <v>6.15</v>
      </c>
      <c r="Z90">
        <v>3.54</v>
      </c>
      <c r="AA90">
        <v>1.5</v>
      </c>
      <c r="AB90">
        <v>0.35</v>
      </c>
      <c r="AC90">
        <v>2.95</v>
      </c>
    </row>
    <row r="91" spans="1:29" x14ac:dyDescent="0.2">
      <c r="A91">
        <v>404</v>
      </c>
      <c r="B91">
        <v>1963</v>
      </c>
      <c r="C91" s="1">
        <v>2.2000000000000002</v>
      </c>
      <c r="D91" s="1">
        <v>2.6</v>
      </c>
      <c r="E91" s="1">
        <v>2.7</v>
      </c>
      <c r="F91" s="1">
        <v>3</v>
      </c>
      <c r="G91" s="1">
        <v>3.1</v>
      </c>
      <c r="H91" s="1">
        <v>4.9000000000000004</v>
      </c>
      <c r="I91" s="1">
        <v>6.8</v>
      </c>
      <c r="J91" s="1">
        <v>6.7</v>
      </c>
      <c r="K91" s="1">
        <v>5.2</v>
      </c>
      <c r="L91" s="1">
        <v>4.8</v>
      </c>
      <c r="M91" s="1">
        <v>4.2</v>
      </c>
      <c r="N91" s="1">
        <v>2.4</v>
      </c>
      <c r="O91" s="1">
        <f t="shared" si="4"/>
        <v>4.05</v>
      </c>
      <c r="P91">
        <v>1963</v>
      </c>
      <c r="Q91">
        <v>-0.47</v>
      </c>
      <c r="R91">
        <v>-1.29</v>
      </c>
      <c r="S91">
        <v>1.85</v>
      </c>
      <c r="T91">
        <v>0.08</v>
      </c>
      <c r="U91">
        <v>1.91</v>
      </c>
      <c r="V91">
        <v>6.88</v>
      </c>
      <c r="W91">
        <v>6.27</v>
      </c>
      <c r="X91">
        <v>6.06</v>
      </c>
      <c r="Y91">
        <v>3.93</v>
      </c>
      <c r="Z91">
        <v>2.68</v>
      </c>
      <c r="AA91">
        <v>-1.57</v>
      </c>
      <c r="AB91">
        <v>0.02</v>
      </c>
      <c r="AC91">
        <v>2.2000000000000002</v>
      </c>
    </row>
    <row r="92" spans="1:29" x14ac:dyDescent="0.2">
      <c r="A92">
        <v>404</v>
      </c>
      <c r="B92">
        <v>1964</v>
      </c>
      <c r="C92" s="1">
        <v>1.8</v>
      </c>
      <c r="D92" s="1">
        <v>2.2000000000000002</v>
      </c>
      <c r="E92" s="1">
        <v>2.8</v>
      </c>
      <c r="F92" s="1">
        <v>4.7</v>
      </c>
      <c r="G92" s="1">
        <v>5.6</v>
      </c>
      <c r="H92" s="1">
        <v>6.4</v>
      </c>
      <c r="I92" s="1">
        <v>7.5</v>
      </c>
      <c r="J92" s="1">
        <v>8.3000000000000007</v>
      </c>
      <c r="K92" s="1">
        <v>6</v>
      </c>
      <c r="L92" s="1">
        <v>4.5999999999999996</v>
      </c>
      <c r="M92" s="1">
        <v>4.2</v>
      </c>
      <c r="N92" s="1">
        <v>3.2</v>
      </c>
      <c r="O92" s="1">
        <f t="shared" si="4"/>
        <v>4.78</v>
      </c>
      <c r="P92">
        <v>1964</v>
      </c>
      <c r="Q92">
        <v>0.95</v>
      </c>
      <c r="R92">
        <v>1.61</v>
      </c>
      <c r="S92">
        <v>3.56</v>
      </c>
      <c r="T92">
        <v>1.91</v>
      </c>
      <c r="U92">
        <v>4.26</v>
      </c>
      <c r="V92">
        <v>6.67</v>
      </c>
      <c r="W92">
        <v>8.2799999999999994</v>
      </c>
      <c r="X92">
        <v>6.26</v>
      </c>
      <c r="Y92">
        <v>4.1399999999999997</v>
      </c>
      <c r="Z92">
        <v>3.18</v>
      </c>
      <c r="AA92">
        <v>-0.17</v>
      </c>
      <c r="AB92">
        <v>-1.87</v>
      </c>
      <c r="AC92">
        <v>3.23</v>
      </c>
    </row>
    <row r="93" spans="1:29" x14ac:dyDescent="0.2">
      <c r="A93">
        <v>404</v>
      </c>
      <c r="B93">
        <v>1965</v>
      </c>
      <c r="C93" s="1">
        <v>1.6</v>
      </c>
      <c r="D93" s="1">
        <v>1.5</v>
      </c>
      <c r="E93" s="1">
        <v>-0.7</v>
      </c>
      <c r="F93" s="1">
        <v>-0.6</v>
      </c>
      <c r="G93" s="1">
        <v>1.9</v>
      </c>
      <c r="H93" s="1">
        <v>4.3</v>
      </c>
      <c r="I93" s="1">
        <v>6.4</v>
      </c>
      <c r="J93" s="1">
        <v>7.3</v>
      </c>
      <c r="K93" s="1">
        <v>6.1</v>
      </c>
      <c r="L93" s="1">
        <v>6</v>
      </c>
      <c r="M93" s="2">
        <f>ROUND((AP91+AP92+AP94+AP95)/4+AA93,1)</f>
        <v>-0.6</v>
      </c>
      <c r="N93" s="2">
        <f>ROUND((AQ91+AQ92+AQ94+AQ95)/4+AB93,1)</f>
        <v>-1.7</v>
      </c>
      <c r="O93" s="1">
        <f t="shared" si="4"/>
        <v>2.63</v>
      </c>
      <c r="P93">
        <v>1965</v>
      </c>
      <c r="Q93">
        <v>-2.23</v>
      </c>
      <c r="R93">
        <v>1.52</v>
      </c>
      <c r="S93">
        <v>-5.56</v>
      </c>
      <c r="T93">
        <v>-1.53</v>
      </c>
      <c r="U93">
        <v>1.18</v>
      </c>
      <c r="V93">
        <v>4.83</v>
      </c>
      <c r="W93">
        <v>7.33</v>
      </c>
      <c r="X93">
        <v>7.45</v>
      </c>
      <c r="Y93">
        <v>3.7</v>
      </c>
      <c r="Z93">
        <v>4.45</v>
      </c>
      <c r="AA93">
        <v>-0.64</v>
      </c>
      <c r="AB93">
        <v>-1.69</v>
      </c>
      <c r="AC93">
        <v>1.57</v>
      </c>
    </row>
    <row r="94" spans="1:29" x14ac:dyDescent="0.2">
      <c r="A94">
        <v>404</v>
      </c>
      <c r="B94">
        <v>1966</v>
      </c>
      <c r="C94" s="1">
        <v>4.2</v>
      </c>
      <c r="D94" s="1">
        <v>2.8</v>
      </c>
      <c r="E94" s="1">
        <v>1.6</v>
      </c>
      <c r="F94" s="1">
        <v>0.2</v>
      </c>
      <c r="G94" s="1">
        <v>1.8</v>
      </c>
      <c r="H94" s="1">
        <v>4.0999999999999996</v>
      </c>
      <c r="I94" s="1">
        <v>7</v>
      </c>
      <c r="J94" s="1">
        <v>8.4</v>
      </c>
      <c r="K94" s="1">
        <v>8.1999999999999993</v>
      </c>
      <c r="L94" s="1">
        <v>5.7</v>
      </c>
      <c r="M94" s="1">
        <v>4.7</v>
      </c>
      <c r="N94" s="1">
        <v>3.2</v>
      </c>
      <c r="O94" s="1">
        <f t="shared" si="4"/>
        <v>4.33</v>
      </c>
      <c r="P94">
        <v>1966</v>
      </c>
      <c r="Q94">
        <v>-2.2400000000000002</v>
      </c>
      <c r="R94">
        <v>-2.54</v>
      </c>
      <c r="S94">
        <v>-3.26</v>
      </c>
      <c r="T94">
        <v>0.7</v>
      </c>
      <c r="U94">
        <v>2.0499999999999998</v>
      </c>
      <c r="V94">
        <v>7.4</v>
      </c>
      <c r="W94">
        <v>7.48</v>
      </c>
      <c r="X94">
        <v>7.35</v>
      </c>
      <c r="Y94">
        <v>5.6</v>
      </c>
      <c r="Z94">
        <v>2.19</v>
      </c>
      <c r="AA94">
        <v>-0.39</v>
      </c>
      <c r="AB94">
        <v>-1.98</v>
      </c>
      <c r="AC94">
        <v>1.86</v>
      </c>
    </row>
    <row r="95" spans="1:29" x14ac:dyDescent="0.2">
      <c r="A95">
        <v>404</v>
      </c>
      <c r="B95">
        <v>1967</v>
      </c>
      <c r="C95" s="1">
        <v>1.9</v>
      </c>
      <c r="D95" s="1">
        <v>1.8</v>
      </c>
      <c r="E95" s="1">
        <v>0.7</v>
      </c>
      <c r="F95" s="1">
        <v>0.5</v>
      </c>
      <c r="G95" s="1">
        <v>0.7</v>
      </c>
      <c r="H95" s="1">
        <v>2.1</v>
      </c>
      <c r="I95" s="1">
        <v>5.5</v>
      </c>
      <c r="J95" s="1">
        <v>6.4</v>
      </c>
      <c r="K95" s="1">
        <v>6</v>
      </c>
      <c r="L95" s="1">
        <v>4.5999999999999996</v>
      </c>
      <c r="M95" s="1">
        <v>4.5999999999999996</v>
      </c>
      <c r="N95" s="1">
        <v>2.9</v>
      </c>
      <c r="O95" s="1">
        <f t="shared" si="4"/>
        <v>3.14</v>
      </c>
      <c r="P95">
        <v>1967</v>
      </c>
      <c r="Q95">
        <v>-0.37</v>
      </c>
      <c r="R95">
        <v>-0.1</v>
      </c>
      <c r="S95">
        <v>-5.62</v>
      </c>
      <c r="T95">
        <v>-1.1100000000000001</v>
      </c>
      <c r="U95">
        <v>0.14000000000000001</v>
      </c>
      <c r="V95">
        <v>4.9000000000000004</v>
      </c>
      <c r="W95">
        <v>5.36</v>
      </c>
      <c r="X95">
        <v>7.4</v>
      </c>
      <c r="Y95">
        <v>7.17</v>
      </c>
      <c r="Z95">
        <v>1.69</v>
      </c>
      <c r="AA95">
        <v>-0.02</v>
      </c>
      <c r="AB95">
        <v>-2.2599999999999998</v>
      </c>
      <c r="AC95">
        <v>1.43</v>
      </c>
    </row>
    <row r="96" spans="1:29" x14ac:dyDescent="0.2">
      <c r="A96">
        <v>404</v>
      </c>
      <c r="B96">
        <v>1968</v>
      </c>
      <c r="C96" s="1">
        <v>1.1000000000000001</v>
      </c>
      <c r="D96" s="1">
        <v>0.9</v>
      </c>
      <c r="E96" s="1">
        <v>-0.7</v>
      </c>
      <c r="F96" s="1">
        <v>-0.7</v>
      </c>
      <c r="G96" s="1">
        <v>0.7</v>
      </c>
      <c r="H96" s="1">
        <v>2</v>
      </c>
      <c r="I96" s="1">
        <v>4.0999999999999996</v>
      </c>
      <c r="J96" s="1">
        <v>6.1</v>
      </c>
      <c r="K96" s="1">
        <v>7.5</v>
      </c>
      <c r="L96" s="1">
        <v>5.8</v>
      </c>
      <c r="M96" s="1">
        <v>4.8</v>
      </c>
      <c r="N96" s="1">
        <v>4.5999999999999996</v>
      </c>
      <c r="O96" s="1">
        <f t="shared" si="4"/>
        <v>3.02</v>
      </c>
      <c r="P96">
        <v>1968</v>
      </c>
      <c r="Q96">
        <v>-4.12</v>
      </c>
      <c r="R96">
        <v>-3.22</v>
      </c>
      <c r="S96">
        <v>-6.37</v>
      </c>
      <c r="T96">
        <v>-2.46</v>
      </c>
      <c r="U96">
        <v>0.56000000000000005</v>
      </c>
      <c r="V96">
        <v>4.21</v>
      </c>
      <c r="W96">
        <v>7.27</v>
      </c>
      <c r="X96">
        <v>7.53</v>
      </c>
      <c r="Y96">
        <v>6.37</v>
      </c>
      <c r="Z96">
        <v>0.74</v>
      </c>
      <c r="AA96">
        <v>3.12</v>
      </c>
      <c r="AB96">
        <v>-0.75</v>
      </c>
      <c r="AC96">
        <v>1.07</v>
      </c>
    </row>
    <row r="97" spans="1:29" x14ac:dyDescent="0.2">
      <c r="A97">
        <v>404</v>
      </c>
      <c r="B97">
        <v>1969</v>
      </c>
      <c r="C97" s="1">
        <v>2.6</v>
      </c>
      <c r="D97" s="1">
        <v>1.5</v>
      </c>
      <c r="E97" s="1">
        <v>1</v>
      </c>
      <c r="F97" s="1">
        <v>-0.1</v>
      </c>
      <c r="G97" s="1">
        <v>0.6</v>
      </c>
      <c r="H97" s="1">
        <v>2.6</v>
      </c>
      <c r="I97" s="1">
        <v>5.6</v>
      </c>
      <c r="J97" s="1">
        <v>8.5</v>
      </c>
      <c r="K97" s="1">
        <v>7.4</v>
      </c>
      <c r="L97" s="1">
        <v>4</v>
      </c>
      <c r="M97" s="1">
        <v>3.4</v>
      </c>
      <c r="N97" s="1">
        <v>3</v>
      </c>
      <c r="O97" s="1">
        <f t="shared" si="4"/>
        <v>3.34</v>
      </c>
      <c r="P97">
        <v>1969</v>
      </c>
      <c r="Q97">
        <v>-3.99</v>
      </c>
      <c r="R97">
        <v>-4.1500000000000004</v>
      </c>
      <c r="S97">
        <v>-5.04</v>
      </c>
      <c r="T97">
        <v>-2.73</v>
      </c>
      <c r="U97">
        <v>1.4</v>
      </c>
      <c r="V97">
        <v>5.63</v>
      </c>
      <c r="W97">
        <v>6.61</v>
      </c>
      <c r="X97">
        <v>9.81</v>
      </c>
      <c r="Y97">
        <v>5.45</v>
      </c>
      <c r="Z97">
        <v>3.01</v>
      </c>
      <c r="AA97">
        <v>-1.46</v>
      </c>
      <c r="AB97">
        <v>-0.59</v>
      </c>
      <c r="AC97">
        <v>1.1599999999999999</v>
      </c>
    </row>
    <row r="98" spans="1:29" x14ac:dyDescent="0.2">
      <c r="A98">
        <v>404</v>
      </c>
      <c r="B98">
        <v>1970</v>
      </c>
      <c r="C98" s="1">
        <v>1.6</v>
      </c>
      <c r="D98" s="1">
        <v>0.7</v>
      </c>
      <c r="E98" s="1">
        <v>-0.2</v>
      </c>
      <c r="F98" s="1">
        <v>0.8</v>
      </c>
      <c r="G98" s="1">
        <v>2.6</v>
      </c>
      <c r="H98" s="1">
        <v>4.4000000000000004</v>
      </c>
      <c r="I98" s="1">
        <v>6.8</v>
      </c>
      <c r="J98" s="1">
        <v>7.8</v>
      </c>
      <c r="K98" s="1">
        <v>6.8</v>
      </c>
      <c r="L98" s="1">
        <v>5</v>
      </c>
      <c r="M98" s="1">
        <v>3.9</v>
      </c>
      <c r="N98" s="1">
        <v>3</v>
      </c>
      <c r="O98" s="1">
        <f t="shared" si="4"/>
        <v>3.6</v>
      </c>
      <c r="P98">
        <v>1970</v>
      </c>
      <c r="Q98">
        <v>-0.94</v>
      </c>
      <c r="R98">
        <v>-2.67</v>
      </c>
      <c r="S98">
        <v>-4.84</v>
      </c>
      <c r="T98">
        <v>-0.81</v>
      </c>
      <c r="U98">
        <v>2.2599999999999998</v>
      </c>
      <c r="V98">
        <v>7.14</v>
      </c>
      <c r="W98">
        <v>5.56</v>
      </c>
      <c r="X98">
        <v>7.29</v>
      </c>
      <c r="Y98">
        <v>5.82</v>
      </c>
      <c r="Z98">
        <v>2.62</v>
      </c>
      <c r="AA98">
        <v>0.55000000000000004</v>
      </c>
      <c r="AB98">
        <v>0.61</v>
      </c>
      <c r="AC98">
        <v>1.88</v>
      </c>
    </row>
    <row r="99" spans="1:29" x14ac:dyDescent="0.2">
      <c r="A99">
        <v>404</v>
      </c>
      <c r="B99">
        <v>1971</v>
      </c>
      <c r="C99" s="1">
        <v>0.9</v>
      </c>
      <c r="D99" s="1">
        <v>0.4</v>
      </c>
      <c r="E99" s="1">
        <v>-0.1</v>
      </c>
      <c r="F99" s="1">
        <v>0.9</v>
      </c>
      <c r="G99" s="1">
        <v>2.2999999999999998</v>
      </c>
      <c r="H99" s="1">
        <v>4.7</v>
      </c>
      <c r="I99" s="1">
        <v>7.1</v>
      </c>
      <c r="J99" s="1">
        <v>7.6</v>
      </c>
      <c r="K99" s="1">
        <v>6.5</v>
      </c>
      <c r="L99" s="1">
        <v>4.3</v>
      </c>
      <c r="M99" s="1">
        <v>1.9</v>
      </c>
      <c r="N99" s="1">
        <v>0.8</v>
      </c>
      <c r="O99" s="1">
        <f t="shared" si="4"/>
        <v>3.11</v>
      </c>
      <c r="P99">
        <v>1971</v>
      </c>
      <c r="Q99">
        <v>-4.6399999999999997</v>
      </c>
      <c r="R99">
        <v>-1.89</v>
      </c>
      <c r="S99">
        <v>-2.2200000000000002</v>
      </c>
      <c r="T99">
        <v>-0.68</v>
      </c>
      <c r="U99">
        <v>2.88</v>
      </c>
      <c r="V99">
        <v>5.14</v>
      </c>
      <c r="W99">
        <v>6.92</v>
      </c>
      <c r="X99">
        <v>7.16</v>
      </c>
      <c r="Y99">
        <v>5.16</v>
      </c>
      <c r="Z99">
        <v>2.57</v>
      </c>
      <c r="AA99">
        <v>-0.86</v>
      </c>
      <c r="AB99">
        <v>-0.86</v>
      </c>
      <c r="AC99">
        <v>1.56</v>
      </c>
    </row>
    <row r="100" spans="1:29" x14ac:dyDescent="0.2">
      <c r="A100">
        <v>404</v>
      </c>
      <c r="B100">
        <v>1972</v>
      </c>
      <c r="C100" s="1">
        <v>3</v>
      </c>
      <c r="D100" s="1">
        <v>3</v>
      </c>
      <c r="E100" s="1">
        <v>3.4</v>
      </c>
      <c r="F100" s="1">
        <v>4.0999999999999996</v>
      </c>
      <c r="G100" s="1">
        <v>5.0999999999999996</v>
      </c>
      <c r="H100" s="1">
        <v>6.1</v>
      </c>
      <c r="I100" s="1">
        <v>8</v>
      </c>
      <c r="J100" s="1">
        <v>8.1</v>
      </c>
      <c r="K100" s="1">
        <v>6.3</v>
      </c>
      <c r="L100" s="1">
        <v>5.7</v>
      </c>
      <c r="M100" s="1">
        <v>5.6</v>
      </c>
      <c r="N100" s="1">
        <v>4</v>
      </c>
      <c r="O100" s="1">
        <f t="shared" si="4"/>
        <v>5.2</v>
      </c>
      <c r="P100">
        <v>1972</v>
      </c>
      <c r="Q100">
        <v>1.94</v>
      </c>
      <c r="R100">
        <v>1.03</v>
      </c>
      <c r="S100">
        <v>0.6</v>
      </c>
      <c r="T100">
        <v>0.46</v>
      </c>
      <c r="U100">
        <v>4.8099999999999996</v>
      </c>
      <c r="V100">
        <v>5.87</v>
      </c>
      <c r="W100">
        <v>8.76</v>
      </c>
      <c r="X100">
        <v>7.76</v>
      </c>
      <c r="Y100">
        <v>5.87</v>
      </c>
      <c r="Z100">
        <v>3.28</v>
      </c>
      <c r="AA100">
        <v>0.36</v>
      </c>
      <c r="AB100">
        <v>1.19</v>
      </c>
      <c r="AC100">
        <v>3.49</v>
      </c>
    </row>
    <row r="101" spans="1:29" x14ac:dyDescent="0.2">
      <c r="A101">
        <v>404</v>
      </c>
      <c r="B101">
        <v>1973</v>
      </c>
      <c r="C101" s="1" t="s">
        <v>14</v>
      </c>
      <c r="D101" s="1" t="s">
        <v>14</v>
      </c>
      <c r="E101" s="1" t="s">
        <v>14</v>
      </c>
      <c r="F101" s="2">
        <f>ROUND((AI99+AI100+AI102+AI103)/4+T101,1)</f>
        <v>-0.2</v>
      </c>
      <c r="G101" s="2">
        <f t="shared" ref="G101:L101" si="5">ROUND((AJ99+AJ100+AJ102+AJ103)/4+U101,1)</f>
        <v>2.6</v>
      </c>
      <c r="H101" s="2">
        <f t="shared" si="5"/>
        <v>4.7</v>
      </c>
      <c r="I101" s="2">
        <f t="shared" si="5"/>
        <v>8</v>
      </c>
      <c r="J101" s="2">
        <f t="shared" si="5"/>
        <v>7.9</v>
      </c>
      <c r="K101" s="2">
        <f t="shared" si="5"/>
        <v>7</v>
      </c>
      <c r="L101" s="2">
        <f t="shared" si="5"/>
        <v>3.4</v>
      </c>
      <c r="M101" s="1" t="s">
        <v>14</v>
      </c>
      <c r="N101" s="1" t="s">
        <v>14</v>
      </c>
      <c r="O101" s="1" t="s">
        <v>14</v>
      </c>
      <c r="P101">
        <v>1973</v>
      </c>
      <c r="Q101">
        <v>2.21</v>
      </c>
      <c r="R101">
        <v>-4.37</v>
      </c>
      <c r="S101">
        <v>0.1</v>
      </c>
      <c r="T101">
        <v>-0.23</v>
      </c>
      <c r="U101">
        <v>2.61</v>
      </c>
      <c r="V101">
        <v>4.7300000000000004</v>
      </c>
      <c r="W101">
        <v>8</v>
      </c>
      <c r="X101">
        <v>7.85</v>
      </c>
      <c r="Y101">
        <v>7</v>
      </c>
      <c r="Z101">
        <v>3.38</v>
      </c>
      <c r="AA101">
        <v>-3.48</v>
      </c>
      <c r="AB101">
        <v>-5.26</v>
      </c>
      <c r="AC101">
        <v>1.88</v>
      </c>
    </row>
    <row r="102" spans="1:29" x14ac:dyDescent="0.2">
      <c r="A102">
        <v>404</v>
      </c>
      <c r="B102">
        <v>1974</v>
      </c>
      <c r="C102" s="1" t="s">
        <v>14</v>
      </c>
      <c r="D102" s="1" t="s">
        <v>14</v>
      </c>
      <c r="E102" s="1" t="s">
        <v>14</v>
      </c>
      <c r="F102" s="1" t="s">
        <v>14</v>
      </c>
      <c r="G102" s="1">
        <v>4.4800000000000004</v>
      </c>
      <c r="H102" s="1">
        <v>6.65</v>
      </c>
      <c r="I102" s="1">
        <v>6.67</v>
      </c>
      <c r="J102" s="1">
        <v>6.55</v>
      </c>
      <c r="K102" s="1">
        <v>4.4400000000000004</v>
      </c>
      <c r="L102" s="1">
        <v>3.31</v>
      </c>
      <c r="M102" s="1">
        <v>1.32</v>
      </c>
      <c r="N102" s="1">
        <v>1.42</v>
      </c>
      <c r="O102" s="1" t="s">
        <v>14</v>
      </c>
      <c r="P102">
        <v>1974</v>
      </c>
      <c r="Q102">
        <v>0.75</v>
      </c>
      <c r="R102">
        <v>-1.18</v>
      </c>
      <c r="S102">
        <v>2.11</v>
      </c>
      <c r="T102">
        <v>3.91</v>
      </c>
      <c r="U102">
        <v>5.15</v>
      </c>
      <c r="V102">
        <v>6.82</v>
      </c>
      <c r="W102">
        <v>7.64</v>
      </c>
      <c r="X102">
        <v>7.11</v>
      </c>
      <c r="Y102">
        <v>4.53</v>
      </c>
      <c r="Z102">
        <v>3.56</v>
      </c>
      <c r="AA102">
        <v>2.76</v>
      </c>
      <c r="AB102">
        <v>-2.92</v>
      </c>
      <c r="AC102">
        <v>3.35</v>
      </c>
    </row>
    <row r="103" spans="1:29" x14ac:dyDescent="0.2">
      <c r="A103">
        <v>404</v>
      </c>
      <c r="B103">
        <v>1975</v>
      </c>
      <c r="C103" s="1">
        <v>1.65</v>
      </c>
      <c r="D103" s="1">
        <v>2.2000000000000002</v>
      </c>
      <c r="E103" s="1">
        <v>1.43</v>
      </c>
      <c r="F103" s="1">
        <v>2.52</v>
      </c>
      <c r="G103" s="1">
        <v>2.0099999999999998</v>
      </c>
      <c r="H103" s="1">
        <v>3.1</v>
      </c>
      <c r="I103" s="1">
        <v>5.84</v>
      </c>
      <c r="J103" s="1">
        <v>7.42</v>
      </c>
      <c r="K103" s="1">
        <v>6.11</v>
      </c>
      <c r="L103" s="1">
        <v>2.69</v>
      </c>
      <c r="M103" s="1" t="s">
        <v>14</v>
      </c>
      <c r="N103" s="1" t="s">
        <v>14</v>
      </c>
      <c r="O103" s="1" t="s">
        <v>14</v>
      </c>
      <c r="P103">
        <v>1975</v>
      </c>
      <c r="Q103">
        <v>-3.23</v>
      </c>
      <c r="R103">
        <v>0.92</v>
      </c>
      <c r="S103">
        <v>-2.78</v>
      </c>
      <c r="T103">
        <v>-0.84</v>
      </c>
      <c r="U103">
        <v>3.24</v>
      </c>
      <c r="V103">
        <v>3.78</v>
      </c>
      <c r="W103">
        <v>7.82</v>
      </c>
      <c r="X103">
        <v>8.0500000000000007</v>
      </c>
      <c r="Y103">
        <v>3.47</v>
      </c>
      <c r="Z103">
        <v>3.68</v>
      </c>
      <c r="AA103">
        <v>1.21</v>
      </c>
      <c r="AB103">
        <v>-2.4900000000000002</v>
      </c>
      <c r="AC103">
        <v>1.9</v>
      </c>
    </row>
    <row r="104" spans="1:29" x14ac:dyDescent="0.2">
      <c r="A104">
        <v>404</v>
      </c>
      <c r="B104">
        <v>1976</v>
      </c>
      <c r="C104" s="1" t="s">
        <v>14</v>
      </c>
      <c r="D104" s="1" t="s">
        <v>14</v>
      </c>
      <c r="E104" s="1" t="s">
        <v>14</v>
      </c>
      <c r="F104" s="1" t="s">
        <v>14</v>
      </c>
      <c r="G104" s="1" t="s">
        <v>14</v>
      </c>
      <c r="H104" s="1" t="s">
        <v>14</v>
      </c>
      <c r="I104" s="1" t="s">
        <v>14</v>
      </c>
      <c r="J104" s="1" t="s">
        <v>14</v>
      </c>
      <c r="K104" s="1" t="s">
        <v>14</v>
      </c>
      <c r="L104" s="1" t="s">
        <v>14</v>
      </c>
      <c r="M104" s="1" t="s">
        <v>14</v>
      </c>
      <c r="N104" s="1" t="s">
        <v>14</v>
      </c>
      <c r="O104" s="1" t="s">
        <v>14</v>
      </c>
      <c r="P104">
        <v>1976</v>
      </c>
      <c r="Q104">
        <v>-2.8</v>
      </c>
      <c r="R104">
        <v>0.08</v>
      </c>
      <c r="S104">
        <v>0.4</v>
      </c>
      <c r="T104">
        <v>0.52</v>
      </c>
      <c r="U104">
        <v>2.69</v>
      </c>
      <c r="V104">
        <v>6.44</v>
      </c>
      <c r="W104">
        <v>9.18</v>
      </c>
      <c r="X104">
        <v>9.6300000000000008</v>
      </c>
      <c r="Y104">
        <v>6.16</v>
      </c>
      <c r="Z104">
        <v>4.6100000000000003</v>
      </c>
      <c r="AA104">
        <v>1.98</v>
      </c>
      <c r="AB104">
        <v>-0.83</v>
      </c>
      <c r="AC104">
        <v>3.17</v>
      </c>
    </row>
    <row r="105" spans="1:29" x14ac:dyDescent="0.2">
      <c r="A105">
        <v>404</v>
      </c>
      <c r="B105">
        <v>1977</v>
      </c>
      <c r="C105" s="1" t="s">
        <v>14</v>
      </c>
      <c r="D105" s="1" t="s">
        <v>14</v>
      </c>
      <c r="E105" s="1" t="s">
        <v>14</v>
      </c>
      <c r="F105" s="1" t="s">
        <v>14</v>
      </c>
      <c r="G105" s="1" t="s">
        <v>14</v>
      </c>
      <c r="H105" s="1" t="s">
        <v>14</v>
      </c>
      <c r="I105" s="1" t="s">
        <v>14</v>
      </c>
      <c r="J105" s="1" t="s">
        <v>14</v>
      </c>
      <c r="K105" s="1" t="s">
        <v>14</v>
      </c>
      <c r="L105" s="1" t="s">
        <v>14</v>
      </c>
      <c r="M105" s="1" t="s">
        <v>14</v>
      </c>
      <c r="N105" s="1" t="s">
        <v>14</v>
      </c>
      <c r="O105" s="1" t="s">
        <v>14</v>
      </c>
      <c r="P105">
        <v>1977</v>
      </c>
      <c r="Q105">
        <v>-1.85</v>
      </c>
      <c r="R105">
        <v>0.22</v>
      </c>
      <c r="S105">
        <v>-0.62</v>
      </c>
      <c r="T105">
        <v>-1.42</v>
      </c>
      <c r="U105">
        <v>4.1100000000000003</v>
      </c>
      <c r="V105">
        <v>5.84</v>
      </c>
      <c r="W105">
        <v>7.6</v>
      </c>
      <c r="X105">
        <v>7.37</v>
      </c>
      <c r="Y105">
        <v>5.78</v>
      </c>
      <c r="Z105">
        <v>3.32</v>
      </c>
      <c r="AA105">
        <v>-0.9</v>
      </c>
      <c r="AB105">
        <v>0.01</v>
      </c>
      <c r="AC105">
        <v>2.46</v>
      </c>
    </row>
    <row r="106" spans="1:29" x14ac:dyDescent="0.2">
      <c r="A106">
        <v>404</v>
      </c>
      <c r="B106">
        <v>1978</v>
      </c>
      <c r="C106" s="1" t="s">
        <v>14</v>
      </c>
      <c r="D106" s="1" t="s">
        <v>14</v>
      </c>
      <c r="E106" s="1" t="s">
        <v>14</v>
      </c>
      <c r="F106" s="1" t="s">
        <v>14</v>
      </c>
      <c r="G106" s="1" t="s">
        <v>14</v>
      </c>
      <c r="H106" s="1" t="s">
        <v>14</v>
      </c>
      <c r="I106" s="1" t="s">
        <v>14</v>
      </c>
      <c r="J106" s="1" t="s">
        <v>14</v>
      </c>
      <c r="K106" s="1" t="s">
        <v>14</v>
      </c>
      <c r="L106" s="1" t="s">
        <v>14</v>
      </c>
      <c r="M106" s="1" t="s">
        <v>14</v>
      </c>
      <c r="N106" s="1" t="s">
        <v>14</v>
      </c>
      <c r="O106" s="1" t="s">
        <v>14</v>
      </c>
      <c r="P106">
        <v>1978</v>
      </c>
      <c r="Q106">
        <v>-1.82</v>
      </c>
      <c r="R106">
        <v>-2.77</v>
      </c>
      <c r="S106">
        <v>-1.26</v>
      </c>
      <c r="T106">
        <v>1.35</v>
      </c>
      <c r="U106">
        <v>4.6399999999999997</v>
      </c>
      <c r="V106">
        <v>5.82</v>
      </c>
      <c r="W106">
        <v>7.24</v>
      </c>
      <c r="X106">
        <v>9.48</v>
      </c>
      <c r="Y106">
        <v>5.28</v>
      </c>
      <c r="Z106">
        <v>3.76</v>
      </c>
      <c r="AA106">
        <v>0.46</v>
      </c>
      <c r="AB106">
        <v>1.29</v>
      </c>
      <c r="AC106">
        <v>2.79</v>
      </c>
    </row>
    <row r="107" spans="1:29" x14ac:dyDescent="0.2">
      <c r="A107">
        <v>404</v>
      </c>
      <c r="B107">
        <v>1979</v>
      </c>
      <c r="C107" s="1" t="s">
        <v>14</v>
      </c>
      <c r="D107" s="1" t="s">
        <v>14</v>
      </c>
      <c r="E107" s="1" t="s">
        <v>14</v>
      </c>
      <c r="F107" s="1" t="s">
        <v>14</v>
      </c>
      <c r="G107" s="1" t="s">
        <v>14</v>
      </c>
      <c r="H107" s="1" t="s">
        <v>14</v>
      </c>
      <c r="I107" s="1" t="s">
        <v>14</v>
      </c>
      <c r="J107" s="1" t="s">
        <v>14</v>
      </c>
      <c r="K107" s="1" t="s">
        <v>14</v>
      </c>
      <c r="L107" s="1" t="s">
        <v>14</v>
      </c>
      <c r="M107" s="1" t="s">
        <v>14</v>
      </c>
      <c r="N107" s="1" t="s">
        <v>14</v>
      </c>
      <c r="O107" s="1" t="s">
        <v>14</v>
      </c>
      <c r="P107">
        <v>1979</v>
      </c>
      <c r="Q107">
        <v>-3.83</v>
      </c>
      <c r="R107">
        <v>-1.01</v>
      </c>
      <c r="S107">
        <v>-5.25</v>
      </c>
      <c r="T107">
        <v>-1.23</v>
      </c>
      <c r="U107">
        <v>-1.51</v>
      </c>
      <c r="V107">
        <v>4.9800000000000004</v>
      </c>
      <c r="W107">
        <v>5.07</v>
      </c>
      <c r="X107">
        <v>6.58</v>
      </c>
      <c r="Y107">
        <v>3.3</v>
      </c>
      <c r="Z107">
        <v>3.87</v>
      </c>
      <c r="AA107">
        <v>0.43</v>
      </c>
      <c r="AB107">
        <v>0.46</v>
      </c>
      <c r="AC107">
        <v>0.99</v>
      </c>
    </row>
    <row r="108" spans="1:29" x14ac:dyDescent="0.2">
      <c r="A108">
        <v>404</v>
      </c>
      <c r="B108">
        <v>1980</v>
      </c>
      <c r="C108" s="1" t="s">
        <v>14</v>
      </c>
      <c r="D108" s="1" t="s">
        <v>14</v>
      </c>
      <c r="E108" s="1" t="s">
        <v>14</v>
      </c>
      <c r="F108" s="1" t="s">
        <v>14</v>
      </c>
      <c r="G108" s="1" t="s">
        <v>14</v>
      </c>
      <c r="H108" s="1" t="s">
        <v>14</v>
      </c>
      <c r="I108" s="1" t="s">
        <v>14</v>
      </c>
      <c r="J108" s="1" t="s">
        <v>14</v>
      </c>
      <c r="K108" s="1" t="s">
        <v>14</v>
      </c>
      <c r="L108" s="1" t="s">
        <v>14</v>
      </c>
      <c r="M108" s="1" t="s">
        <v>14</v>
      </c>
      <c r="N108" s="1" t="s">
        <v>14</v>
      </c>
      <c r="O108" s="1" t="s">
        <v>14</v>
      </c>
      <c r="P108">
        <v>1980</v>
      </c>
      <c r="Q108">
        <v>-0.57999999999999996</v>
      </c>
      <c r="R108">
        <v>0.41</v>
      </c>
      <c r="S108">
        <v>0.23</v>
      </c>
      <c r="T108">
        <v>2.02</v>
      </c>
      <c r="U108">
        <v>5.0999999999999996</v>
      </c>
      <c r="V108">
        <v>6.78</v>
      </c>
      <c r="W108">
        <v>8.6999999999999993</v>
      </c>
      <c r="X108">
        <v>8.99</v>
      </c>
      <c r="Y108">
        <v>6.57</v>
      </c>
      <c r="Z108">
        <v>1.51</v>
      </c>
      <c r="AA108">
        <v>0.26</v>
      </c>
      <c r="AB108">
        <v>-2.83</v>
      </c>
      <c r="AC108">
        <v>3.1</v>
      </c>
    </row>
    <row r="109" spans="1:29" x14ac:dyDescent="0.2">
      <c r="A109">
        <v>404</v>
      </c>
      <c r="B109">
        <v>1981</v>
      </c>
      <c r="C109" s="1" t="s">
        <v>14</v>
      </c>
      <c r="D109" s="1" t="s">
        <v>14</v>
      </c>
      <c r="E109" s="1" t="s">
        <v>14</v>
      </c>
      <c r="F109" s="1" t="s">
        <v>14</v>
      </c>
      <c r="G109" s="1" t="s">
        <v>14</v>
      </c>
      <c r="H109" s="1" t="s">
        <v>14</v>
      </c>
      <c r="I109" s="1" t="s">
        <v>14</v>
      </c>
      <c r="J109" s="1" t="s">
        <v>14</v>
      </c>
      <c r="K109" s="1" t="s">
        <v>14</v>
      </c>
      <c r="L109" s="1" t="s">
        <v>14</v>
      </c>
      <c r="M109" s="1" t="s">
        <v>14</v>
      </c>
      <c r="N109" s="1" t="s">
        <v>14</v>
      </c>
      <c r="O109" s="1" t="s">
        <v>14</v>
      </c>
      <c r="P109">
        <v>1981</v>
      </c>
      <c r="Q109">
        <v>-3.28</v>
      </c>
      <c r="R109">
        <v>-2.66</v>
      </c>
      <c r="S109">
        <v>-3.19</v>
      </c>
      <c r="T109">
        <v>0.54</v>
      </c>
      <c r="U109">
        <v>1.79</v>
      </c>
      <c r="V109">
        <v>5</v>
      </c>
      <c r="W109">
        <v>6.4</v>
      </c>
      <c r="X109">
        <v>8.24</v>
      </c>
      <c r="Y109">
        <v>4.95</v>
      </c>
      <c r="Z109">
        <v>0.5</v>
      </c>
      <c r="AA109">
        <v>-0.4</v>
      </c>
      <c r="AB109">
        <v>-2.39</v>
      </c>
      <c r="AC109">
        <v>1.29</v>
      </c>
    </row>
    <row r="110" spans="1:29" x14ac:dyDescent="0.2">
      <c r="A110">
        <v>404</v>
      </c>
      <c r="B110">
        <v>1982</v>
      </c>
      <c r="C110" s="1" t="s">
        <v>14</v>
      </c>
      <c r="D110" s="1" t="s">
        <v>14</v>
      </c>
      <c r="E110" s="1" t="s">
        <v>14</v>
      </c>
      <c r="F110" s="1" t="s">
        <v>14</v>
      </c>
      <c r="G110" s="1" t="s">
        <v>14</v>
      </c>
      <c r="H110" s="1" t="s">
        <v>14</v>
      </c>
      <c r="I110" s="1" t="s">
        <v>14</v>
      </c>
      <c r="J110" s="1" t="s">
        <v>14</v>
      </c>
      <c r="K110" s="1" t="s">
        <v>14</v>
      </c>
      <c r="L110" s="1" t="s">
        <v>14</v>
      </c>
      <c r="M110" s="1" t="s">
        <v>14</v>
      </c>
      <c r="N110" s="1" t="s">
        <v>14</v>
      </c>
      <c r="O110" s="1" t="s">
        <v>14</v>
      </c>
      <c r="P110">
        <v>1982</v>
      </c>
      <c r="Q110">
        <v>-1.99</v>
      </c>
      <c r="R110">
        <v>-0.05</v>
      </c>
      <c r="S110">
        <v>-0.74</v>
      </c>
      <c r="T110">
        <v>0.42</v>
      </c>
      <c r="U110">
        <v>0.8</v>
      </c>
      <c r="V110">
        <v>5.17</v>
      </c>
      <c r="W110">
        <v>8.1</v>
      </c>
      <c r="X110">
        <v>6.84</v>
      </c>
      <c r="Y110">
        <v>4.3600000000000003</v>
      </c>
      <c r="Z110">
        <v>4.01</v>
      </c>
      <c r="AA110">
        <v>0.34</v>
      </c>
      <c r="AB110">
        <v>-1.4</v>
      </c>
      <c r="AC110">
        <v>2.16</v>
      </c>
    </row>
    <row r="111" spans="1:29" x14ac:dyDescent="0.2">
      <c r="A111">
        <v>404</v>
      </c>
      <c r="B111">
        <v>1983</v>
      </c>
      <c r="C111" s="1" t="s">
        <v>14</v>
      </c>
      <c r="D111" s="1" t="s">
        <v>14</v>
      </c>
      <c r="E111" s="1" t="s">
        <v>14</v>
      </c>
      <c r="F111" s="1" t="s">
        <v>14</v>
      </c>
      <c r="G111" s="1" t="s">
        <v>14</v>
      </c>
      <c r="H111" s="1" t="s">
        <v>14</v>
      </c>
      <c r="I111" s="1" t="s">
        <v>14</v>
      </c>
      <c r="J111" s="1" t="s">
        <v>14</v>
      </c>
      <c r="K111" s="1" t="s">
        <v>14</v>
      </c>
      <c r="L111" s="1" t="s">
        <v>14</v>
      </c>
      <c r="M111" s="1" t="s">
        <v>14</v>
      </c>
      <c r="N111" s="1" t="s">
        <v>14</v>
      </c>
      <c r="O111" s="1" t="s">
        <v>14</v>
      </c>
      <c r="P111">
        <v>1983</v>
      </c>
      <c r="Q111">
        <v>-1.92</v>
      </c>
      <c r="R111">
        <v>0.35</v>
      </c>
      <c r="S111">
        <v>-2.57</v>
      </c>
      <c r="T111">
        <v>-2.4700000000000002</v>
      </c>
      <c r="U111">
        <v>1.28</v>
      </c>
      <c r="V111">
        <v>5.24</v>
      </c>
      <c r="W111">
        <v>7.79</v>
      </c>
      <c r="X111">
        <v>7.83</v>
      </c>
      <c r="Y111">
        <v>4.7300000000000004</v>
      </c>
      <c r="Z111">
        <v>2.0499999999999998</v>
      </c>
      <c r="AA111">
        <v>0.45</v>
      </c>
      <c r="AB111">
        <v>-0.68</v>
      </c>
      <c r="AC111">
        <v>1.84</v>
      </c>
    </row>
    <row r="112" spans="1:29" x14ac:dyDescent="0.2">
      <c r="A112">
        <v>404</v>
      </c>
      <c r="B112">
        <v>1984</v>
      </c>
      <c r="C112" s="1" t="s">
        <v>14</v>
      </c>
      <c r="D112" s="1" t="s">
        <v>14</v>
      </c>
      <c r="E112" s="1" t="s">
        <v>14</v>
      </c>
      <c r="F112" s="1" t="s">
        <v>14</v>
      </c>
      <c r="G112" s="1" t="s">
        <v>14</v>
      </c>
      <c r="H112" s="1" t="s">
        <v>14</v>
      </c>
      <c r="I112" s="1" t="s">
        <v>14</v>
      </c>
      <c r="J112" s="1" t="s">
        <v>14</v>
      </c>
      <c r="K112" s="1" t="s">
        <v>14</v>
      </c>
      <c r="L112" s="1" t="s">
        <v>14</v>
      </c>
      <c r="M112" s="1" t="s">
        <v>14</v>
      </c>
      <c r="N112" s="1" t="s">
        <v>14</v>
      </c>
      <c r="O112" s="1" t="s">
        <v>14</v>
      </c>
      <c r="P112">
        <v>1984</v>
      </c>
      <c r="Q112">
        <v>-1.84</v>
      </c>
      <c r="R112">
        <v>0.6</v>
      </c>
      <c r="S112">
        <v>0.47</v>
      </c>
      <c r="T112">
        <v>2.69</v>
      </c>
      <c r="U112">
        <v>3.99</v>
      </c>
      <c r="V112">
        <v>6.74</v>
      </c>
      <c r="W112">
        <v>8.94</v>
      </c>
      <c r="X112">
        <v>8.68</v>
      </c>
      <c r="Y112">
        <v>5.38</v>
      </c>
      <c r="Z112">
        <v>2.73</v>
      </c>
      <c r="AA112">
        <v>1.1599999999999999</v>
      </c>
      <c r="AB112">
        <v>1.9</v>
      </c>
      <c r="AC112">
        <v>3.45</v>
      </c>
    </row>
    <row r="113" spans="1:29" x14ac:dyDescent="0.2">
      <c r="A113">
        <v>404</v>
      </c>
      <c r="B113">
        <v>1985</v>
      </c>
      <c r="C113" s="1" t="s">
        <v>14</v>
      </c>
      <c r="D113" s="1" t="s">
        <v>14</v>
      </c>
      <c r="E113" s="1" t="s">
        <v>14</v>
      </c>
      <c r="F113" s="1" t="s">
        <v>14</v>
      </c>
      <c r="G113" s="1" t="s">
        <v>14</v>
      </c>
      <c r="H113" s="1" t="s">
        <v>14</v>
      </c>
      <c r="I113" s="1" t="s">
        <v>14</v>
      </c>
      <c r="J113" s="1" t="s">
        <v>14</v>
      </c>
      <c r="K113" s="1" t="s">
        <v>14</v>
      </c>
      <c r="L113" s="1" t="s">
        <v>14</v>
      </c>
      <c r="M113" s="1" t="s">
        <v>14</v>
      </c>
      <c r="N113" s="1" t="s">
        <v>14</v>
      </c>
      <c r="O113" s="1" t="s">
        <v>14</v>
      </c>
      <c r="P113">
        <v>1985</v>
      </c>
      <c r="Q113">
        <v>-0.16</v>
      </c>
      <c r="R113">
        <v>0.23</v>
      </c>
      <c r="S113">
        <v>-1.41</v>
      </c>
      <c r="T113">
        <v>0.7</v>
      </c>
      <c r="U113">
        <v>4.53</v>
      </c>
      <c r="V113">
        <v>6.03</v>
      </c>
      <c r="W113">
        <v>7</v>
      </c>
      <c r="X113">
        <v>6.35</v>
      </c>
      <c r="Y113">
        <v>4.57</v>
      </c>
      <c r="Z113">
        <v>4.5999999999999996</v>
      </c>
      <c r="AA113">
        <v>0.61</v>
      </c>
      <c r="AB113">
        <v>-1.73</v>
      </c>
      <c r="AC113">
        <v>2.61</v>
      </c>
    </row>
    <row r="114" spans="1:29" x14ac:dyDescent="0.2">
      <c r="A114">
        <v>404</v>
      </c>
      <c r="B114">
        <v>1986</v>
      </c>
      <c r="C114" s="1" t="s">
        <v>14</v>
      </c>
      <c r="D114" s="1" t="s">
        <v>14</v>
      </c>
      <c r="E114" s="1" t="s">
        <v>14</v>
      </c>
      <c r="F114" s="1" t="s">
        <v>14</v>
      </c>
      <c r="G114" s="1" t="s">
        <v>14</v>
      </c>
      <c r="H114" s="1" t="s">
        <v>14</v>
      </c>
      <c r="I114" s="1" t="s">
        <v>14</v>
      </c>
      <c r="J114" s="1" t="s">
        <v>14</v>
      </c>
      <c r="K114" s="1" t="s">
        <v>14</v>
      </c>
      <c r="L114" s="1" t="s">
        <v>14</v>
      </c>
      <c r="M114" s="1" t="s">
        <v>14</v>
      </c>
      <c r="N114" s="1" t="s">
        <v>14</v>
      </c>
      <c r="O114" s="1" t="s">
        <v>14</v>
      </c>
      <c r="P114">
        <v>1986</v>
      </c>
      <c r="Q114">
        <v>0.01</v>
      </c>
      <c r="R114">
        <v>0.57999999999999996</v>
      </c>
      <c r="S114">
        <v>-0.13</v>
      </c>
      <c r="T114">
        <v>1.0900000000000001</v>
      </c>
      <c r="U114">
        <v>1.76</v>
      </c>
      <c r="V114">
        <v>7.3</v>
      </c>
      <c r="W114">
        <v>6.62</v>
      </c>
      <c r="X114">
        <v>7.55</v>
      </c>
      <c r="Y114">
        <v>4.7300000000000004</v>
      </c>
      <c r="Z114">
        <v>2.57</v>
      </c>
      <c r="AA114">
        <v>0.34</v>
      </c>
      <c r="AB114">
        <v>0.1</v>
      </c>
      <c r="AC114">
        <v>2.71</v>
      </c>
    </row>
    <row r="115" spans="1:29" x14ac:dyDescent="0.2">
      <c r="A115">
        <v>404</v>
      </c>
      <c r="B115">
        <v>1987</v>
      </c>
      <c r="C115" s="1" t="s">
        <v>14</v>
      </c>
      <c r="D115" s="1" t="s">
        <v>14</v>
      </c>
      <c r="E115" s="1">
        <v>2.5387096774193538</v>
      </c>
      <c r="F115" s="1">
        <v>2.8666666666666663</v>
      </c>
      <c r="G115" s="1">
        <v>4.1709677419354838</v>
      </c>
      <c r="H115" s="1">
        <v>6.4</v>
      </c>
      <c r="I115" s="1">
        <v>7.7387096774193544</v>
      </c>
      <c r="J115" s="1">
        <v>8.2516129032258068</v>
      </c>
      <c r="K115" s="1">
        <v>6.9033333333333333</v>
      </c>
      <c r="L115" s="1">
        <v>4.7516129032258068</v>
      </c>
      <c r="M115" s="1">
        <v>3.8633333333333328</v>
      </c>
      <c r="N115" s="1">
        <v>2.5709677419354842</v>
      </c>
      <c r="O115" s="1" t="s">
        <v>14</v>
      </c>
      <c r="P115">
        <v>1987</v>
      </c>
      <c r="Q115">
        <v>2.0499999999999998</v>
      </c>
      <c r="R115">
        <v>-0.79</v>
      </c>
      <c r="S115">
        <v>-0.8</v>
      </c>
      <c r="T115">
        <v>2.61</v>
      </c>
      <c r="U115">
        <v>4.53</v>
      </c>
      <c r="V115">
        <v>6.52</v>
      </c>
      <c r="W115">
        <v>9.1</v>
      </c>
      <c r="X115">
        <v>7.84</v>
      </c>
      <c r="Y115">
        <v>5.91</v>
      </c>
      <c r="Z115">
        <v>1.88</v>
      </c>
      <c r="AA115">
        <v>3.67</v>
      </c>
      <c r="AB115">
        <v>0.67</v>
      </c>
      <c r="AC115">
        <v>3.6</v>
      </c>
    </row>
    <row r="116" spans="1:29" x14ac:dyDescent="0.2">
      <c r="A116">
        <v>404</v>
      </c>
      <c r="B116">
        <v>1988</v>
      </c>
      <c r="C116" s="1">
        <v>1.3387096774193548</v>
      </c>
      <c r="D116" s="1">
        <v>0.8172413793103448</v>
      </c>
      <c r="E116" s="1">
        <v>0.89032258064516123</v>
      </c>
      <c r="F116" s="1">
        <v>1.177777777777778</v>
      </c>
      <c r="G116" s="1" t="s">
        <v>14</v>
      </c>
      <c r="H116" s="1" t="s">
        <v>14</v>
      </c>
      <c r="I116" s="1" t="s">
        <v>14</v>
      </c>
      <c r="J116" s="1" t="s">
        <v>14</v>
      </c>
      <c r="K116" s="1">
        <v>6.0733333333333333</v>
      </c>
      <c r="L116" s="1">
        <v>4.370967741935484</v>
      </c>
      <c r="M116" s="1">
        <v>2.1433333333333326</v>
      </c>
      <c r="N116" s="1">
        <v>1.810526315789474</v>
      </c>
      <c r="O116" s="1" t="s">
        <v>14</v>
      </c>
      <c r="P116">
        <v>1988</v>
      </c>
      <c r="Q116">
        <v>-3.22</v>
      </c>
      <c r="R116">
        <v>-2.75</v>
      </c>
      <c r="S116">
        <v>-3.03</v>
      </c>
      <c r="T116">
        <v>-2.83</v>
      </c>
      <c r="U116">
        <v>3.09</v>
      </c>
      <c r="V116">
        <v>7.06</v>
      </c>
      <c r="W116">
        <v>6.7</v>
      </c>
      <c r="X116">
        <v>8.49</v>
      </c>
      <c r="Y116">
        <v>5.13</v>
      </c>
      <c r="Z116">
        <v>2.93</v>
      </c>
      <c r="AA116">
        <v>1.03</v>
      </c>
      <c r="AB116">
        <v>-0.95</v>
      </c>
      <c r="AC116">
        <v>1.8</v>
      </c>
    </row>
    <row r="117" spans="1:29" x14ac:dyDescent="0.2">
      <c r="A117">
        <v>404</v>
      </c>
      <c r="B117">
        <v>1989</v>
      </c>
      <c r="C117" s="1" t="s">
        <v>14</v>
      </c>
      <c r="D117" s="1" t="s">
        <v>14</v>
      </c>
      <c r="E117" s="2">
        <f>ROUND((AH115+AH116+AH118+AH119)/4+S117,1)</f>
        <v>-1.8</v>
      </c>
      <c r="F117" s="1">
        <v>0.8</v>
      </c>
      <c r="G117" s="1">
        <v>1.4225806451612903</v>
      </c>
      <c r="H117" s="1">
        <v>4.4464285714285712</v>
      </c>
      <c r="I117" s="1">
        <v>7.2322580645161283</v>
      </c>
      <c r="J117" s="1">
        <v>7.6580645161290324</v>
      </c>
      <c r="K117" s="1">
        <v>6.5633333333333326</v>
      </c>
      <c r="L117" s="1">
        <v>5.435483870967742</v>
      </c>
      <c r="M117" s="1">
        <v>4.55</v>
      </c>
      <c r="N117" s="1">
        <v>2.9967741935483874</v>
      </c>
      <c r="O117" s="1" t="s">
        <v>14</v>
      </c>
      <c r="P117">
        <v>1989</v>
      </c>
      <c r="Q117">
        <v>-0.89</v>
      </c>
      <c r="R117">
        <v>-3.64</v>
      </c>
      <c r="S117">
        <v>-1.79</v>
      </c>
      <c r="T117">
        <v>-0.75</v>
      </c>
      <c r="U117">
        <v>1.85</v>
      </c>
      <c r="V117">
        <v>6.24</v>
      </c>
      <c r="W117">
        <v>9.1199999999999992</v>
      </c>
      <c r="X117">
        <v>7.78</v>
      </c>
      <c r="Y117">
        <v>5.48</v>
      </c>
      <c r="Z117">
        <v>3.84</v>
      </c>
      <c r="AA117">
        <v>1.9</v>
      </c>
      <c r="AB117">
        <v>-0.21</v>
      </c>
      <c r="AC117">
        <v>2.41</v>
      </c>
    </row>
    <row r="118" spans="1:29" x14ac:dyDescent="0.2">
      <c r="A118">
        <v>404</v>
      </c>
      <c r="B118">
        <v>1990</v>
      </c>
      <c r="C118" s="1">
        <v>2.419354838709677</v>
      </c>
      <c r="D118" s="1">
        <v>1.9</v>
      </c>
      <c r="E118" s="1">
        <v>0.41290322580645172</v>
      </c>
      <c r="F118" s="1">
        <v>0.4</v>
      </c>
      <c r="G118" s="1">
        <v>1.6</v>
      </c>
      <c r="H118" s="1">
        <v>4.4033333333333333</v>
      </c>
      <c r="I118" s="1">
        <v>6.5354838709677407</v>
      </c>
      <c r="J118" s="1">
        <v>8.332258064516127</v>
      </c>
      <c r="K118" s="1">
        <v>7.5433333333333321</v>
      </c>
      <c r="L118" s="1">
        <v>5.7258064516129048</v>
      </c>
      <c r="M118" s="1">
        <v>4.703333333333334</v>
      </c>
      <c r="N118" s="1">
        <v>3.7483870967741937</v>
      </c>
      <c r="O118" s="1">
        <f t="shared" ref="O118:O148" si="6">ROUND(AVERAGE(C118:N118),2)</f>
        <v>3.98</v>
      </c>
      <c r="P118">
        <v>1990</v>
      </c>
      <c r="Q118">
        <v>0.39</v>
      </c>
      <c r="R118">
        <v>-1.2</v>
      </c>
      <c r="S118">
        <v>-2.99</v>
      </c>
      <c r="T118">
        <v>-1.07</v>
      </c>
      <c r="U118">
        <v>3.54</v>
      </c>
      <c r="V118">
        <v>6.95</v>
      </c>
      <c r="W118">
        <v>9.18</v>
      </c>
      <c r="X118">
        <v>8.35</v>
      </c>
      <c r="Y118">
        <v>5.54</v>
      </c>
      <c r="Z118">
        <v>2.95</v>
      </c>
      <c r="AA118">
        <v>2.57</v>
      </c>
      <c r="AB118">
        <v>0.43</v>
      </c>
      <c r="AC118">
        <v>2.89</v>
      </c>
    </row>
    <row r="119" spans="1:29" x14ac:dyDescent="0.2">
      <c r="A119">
        <v>404</v>
      </c>
      <c r="B119">
        <v>1991</v>
      </c>
      <c r="C119" s="1">
        <v>2.9193548387096779</v>
      </c>
      <c r="D119" s="1">
        <v>1.9821428571428577</v>
      </c>
      <c r="E119" s="1">
        <v>2.2000000000000002</v>
      </c>
      <c r="F119" s="1">
        <v>2.155555555555555</v>
      </c>
      <c r="G119" s="1">
        <v>3.6354838709677422</v>
      </c>
      <c r="H119" s="1">
        <v>5.6466666666666665</v>
      </c>
      <c r="I119" s="1">
        <v>7.9870967741935477</v>
      </c>
      <c r="J119" s="1">
        <v>8.2129032258064516</v>
      </c>
      <c r="K119" s="1">
        <v>7.67</v>
      </c>
      <c r="L119" s="1">
        <v>6.1419354838709648</v>
      </c>
      <c r="M119" s="1">
        <v>4.17</v>
      </c>
      <c r="N119" s="1">
        <v>2.7032258064516124</v>
      </c>
      <c r="O119" s="1">
        <f t="shared" si="6"/>
        <v>4.62</v>
      </c>
      <c r="P119">
        <v>1991</v>
      </c>
      <c r="Q119">
        <v>1.52</v>
      </c>
      <c r="R119">
        <v>0.75</v>
      </c>
      <c r="S119">
        <v>0.95</v>
      </c>
      <c r="T119">
        <v>-0.72</v>
      </c>
      <c r="U119">
        <v>5.03</v>
      </c>
      <c r="V119">
        <v>5.4</v>
      </c>
      <c r="W119">
        <v>9.58</v>
      </c>
      <c r="X119">
        <v>9.1999999999999993</v>
      </c>
      <c r="Y119">
        <v>5.91</v>
      </c>
      <c r="Z119">
        <v>4.28</v>
      </c>
      <c r="AA119">
        <v>0.44</v>
      </c>
      <c r="AB119">
        <v>0.74</v>
      </c>
      <c r="AC119">
        <v>3.59</v>
      </c>
    </row>
    <row r="120" spans="1:29" x14ac:dyDescent="0.2">
      <c r="A120">
        <v>404</v>
      </c>
      <c r="B120">
        <v>1992</v>
      </c>
      <c r="C120" s="2">
        <v>3</v>
      </c>
      <c r="D120" s="2">
        <f>ROUND((AG118+AG119+AG121+AG122)/4+R120,1)</f>
        <v>-1.9</v>
      </c>
      <c r="E120" s="2">
        <f t="shared" ref="E120:G120" si="7">ROUND((AH118+AH119+AH121+AH122)/4+S120,1)</f>
        <v>-1.6</v>
      </c>
      <c r="F120" s="2">
        <f t="shared" si="7"/>
        <v>0.1</v>
      </c>
      <c r="G120" s="2">
        <f t="shared" si="7"/>
        <v>3.5</v>
      </c>
      <c r="H120" s="1">
        <v>5.5316666666666663</v>
      </c>
      <c r="I120" s="1">
        <v>7.1483870967741945</v>
      </c>
      <c r="J120" s="1">
        <v>7.620322580645162</v>
      </c>
      <c r="K120" s="1">
        <v>6.1080000000000014</v>
      </c>
      <c r="L120" s="1">
        <v>5.2290322580645165</v>
      </c>
      <c r="M120" s="1">
        <v>3.8646666666666669</v>
      </c>
      <c r="N120" s="1">
        <v>2.9403225806451609</v>
      </c>
      <c r="O120" s="1">
        <f t="shared" si="6"/>
        <v>3.46</v>
      </c>
      <c r="P120">
        <v>1992</v>
      </c>
      <c r="Q120">
        <v>1.62</v>
      </c>
      <c r="R120">
        <v>-1.85</v>
      </c>
      <c r="S120">
        <v>-1.62</v>
      </c>
      <c r="T120">
        <v>0.08</v>
      </c>
      <c r="U120">
        <v>3.51</v>
      </c>
      <c r="V120">
        <v>6.72</v>
      </c>
      <c r="W120">
        <v>6.61</v>
      </c>
      <c r="X120">
        <v>7.57</v>
      </c>
      <c r="Y120">
        <v>5.34</v>
      </c>
      <c r="Z120">
        <v>3.64</v>
      </c>
      <c r="AA120">
        <v>1.3</v>
      </c>
      <c r="AB120">
        <v>-0.22</v>
      </c>
      <c r="AC120">
        <v>2.73</v>
      </c>
    </row>
    <row r="121" spans="1:29" x14ac:dyDescent="0.2">
      <c r="A121">
        <v>404</v>
      </c>
      <c r="B121">
        <v>1993</v>
      </c>
      <c r="C121" s="1">
        <v>1.2819354838709678</v>
      </c>
      <c r="D121" s="1">
        <v>0.59678571428571436</v>
      </c>
      <c r="E121" s="1">
        <v>1.3970967741935483</v>
      </c>
      <c r="F121" s="1">
        <v>2.0879999999999996</v>
      </c>
      <c r="G121" s="1">
        <v>3.2125806451612902</v>
      </c>
      <c r="H121" s="1">
        <v>5.0613333333333328</v>
      </c>
      <c r="I121" s="1">
        <v>5.8709677419354831</v>
      </c>
      <c r="J121" s="1">
        <v>6.6367741935483853</v>
      </c>
      <c r="K121" s="1">
        <v>5.1883333333333326</v>
      </c>
      <c r="L121" s="1">
        <v>1.9674193548387096</v>
      </c>
      <c r="M121" s="1">
        <v>4.1849999999999996</v>
      </c>
      <c r="N121" s="1">
        <v>3.4893548387096782</v>
      </c>
      <c r="O121" s="1">
        <f t="shared" si="6"/>
        <v>3.41</v>
      </c>
      <c r="P121">
        <v>1993</v>
      </c>
      <c r="Q121">
        <v>-2.68</v>
      </c>
      <c r="R121">
        <v>-0.83</v>
      </c>
      <c r="S121">
        <v>-0.56999999999999995</v>
      </c>
      <c r="T121">
        <v>1.44</v>
      </c>
      <c r="U121">
        <v>2.66</v>
      </c>
      <c r="V121">
        <v>5.2</v>
      </c>
      <c r="W121">
        <v>5.28</v>
      </c>
      <c r="X121">
        <v>6.7</v>
      </c>
      <c r="Y121">
        <v>6.03</v>
      </c>
      <c r="Z121">
        <v>2.44</v>
      </c>
      <c r="AA121">
        <v>4.07</v>
      </c>
      <c r="AB121">
        <v>-1.17</v>
      </c>
      <c r="AC121">
        <v>2.38</v>
      </c>
    </row>
    <row r="122" spans="1:29" x14ac:dyDescent="0.2">
      <c r="A122">
        <v>404</v>
      </c>
      <c r="B122">
        <v>1994</v>
      </c>
      <c r="C122" s="1">
        <v>2.2041935483870962</v>
      </c>
      <c r="D122" s="1">
        <v>1.8578571428571429</v>
      </c>
      <c r="E122" s="1">
        <v>1.2563333333333333</v>
      </c>
      <c r="F122" s="1">
        <v>2.0950000000000002</v>
      </c>
      <c r="G122" s="1">
        <v>3.7658064516129039</v>
      </c>
      <c r="H122" s="1">
        <v>5.6146666666666674</v>
      </c>
      <c r="I122" s="1">
        <v>7.5751612903225807</v>
      </c>
      <c r="J122" s="1">
        <v>8.2387096774193562</v>
      </c>
      <c r="K122" s="1">
        <v>7.1486666666666645</v>
      </c>
      <c r="L122" s="1">
        <v>4.8541935483870979</v>
      </c>
      <c r="M122" s="1">
        <v>4.2169999999999996</v>
      </c>
      <c r="N122" s="1">
        <v>2.9212903225806452</v>
      </c>
      <c r="O122" s="1">
        <f t="shared" si="6"/>
        <v>4.3099999999999996</v>
      </c>
      <c r="P122">
        <v>1994</v>
      </c>
      <c r="Q122">
        <v>-2.21</v>
      </c>
      <c r="R122">
        <v>0.61</v>
      </c>
      <c r="S122">
        <v>-1.94</v>
      </c>
      <c r="T122">
        <v>0.17</v>
      </c>
      <c r="U122">
        <v>4.32</v>
      </c>
      <c r="V122">
        <v>5.33</v>
      </c>
      <c r="W122">
        <v>9.27</v>
      </c>
      <c r="X122">
        <v>8.58</v>
      </c>
      <c r="Y122">
        <v>5.76</v>
      </c>
      <c r="Z122">
        <v>1.35</v>
      </c>
      <c r="AA122">
        <v>2.02</v>
      </c>
      <c r="AB122">
        <v>-0.69</v>
      </c>
      <c r="AC122">
        <v>2.71</v>
      </c>
    </row>
    <row r="123" spans="1:29" x14ac:dyDescent="0.2">
      <c r="A123">
        <v>404</v>
      </c>
      <c r="B123">
        <v>1995</v>
      </c>
      <c r="C123" s="1">
        <v>1.8606451612903225</v>
      </c>
      <c r="D123" s="1">
        <v>0.70142857142857129</v>
      </c>
      <c r="E123" s="1">
        <v>0.46387096774193526</v>
      </c>
      <c r="F123" s="1">
        <v>0.26533333333333331</v>
      </c>
      <c r="G123" s="1">
        <v>1.2087096774193553</v>
      </c>
      <c r="H123" s="1">
        <v>3.0350000000000001</v>
      </c>
      <c r="I123" s="1">
        <v>5.3190322580645146</v>
      </c>
      <c r="J123" s="1">
        <v>7.2190322580645141</v>
      </c>
      <c r="K123" s="1">
        <v>7.4516666666666671</v>
      </c>
      <c r="L123" s="2">
        <f>ROUND((AO121+AO122+AO124+AO125)/4+Z123,1)</f>
        <v>2.9</v>
      </c>
      <c r="M123" s="1">
        <v>3.8129999999999997</v>
      </c>
      <c r="N123" s="1">
        <v>2.7503225806451619</v>
      </c>
      <c r="O123" s="1">
        <f t="shared" si="6"/>
        <v>3.08</v>
      </c>
      <c r="P123">
        <v>1995</v>
      </c>
      <c r="Q123">
        <v>-1.87</v>
      </c>
      <c r="R123">
        <v>-2.1800000000000002</v>
      </c>
      <c r="S123">
        <v>-1.77</v>
      </c>
      <c r="T123">
        <v>-0.74</v>
      </c>
      <c r="U123">
        <v>0.64</v>
      </c>
      <c r="V123">
        <v>5.64</v>
      </c>
      <c r="W123">
        <v>6.54</v>
      </c>
      <c r="X123">
        <v>8.65</v>
      </c>
      <c r="Y123">
        <v>6.17</v>
      </c>
      <c r="Z123">
        <v>2.86</v>
      </c>
      <c r="AA123">
        <v>1.47</v>
      </c>
      <c r="AB123">
        <v>-0.61</v>
      </c>
      <c r="AC123">
        <v>2.0699999999999998</v>
      </c>
    </row>
    <row r="124" spans="1:29" x14ac:dyDescent="0.2">
      <c r="A124">
        <v>404</v>
      </c>
      <c r="B124">
        <v>1996</v>
      </c>
      <c r="C124" s="1">
        <v>2.580645161290323</v>
      </c>
      <c r="D124" s="1">
        <v>1.9675862068965515</v>
      </c>
      <c r="E124" s="1">
        <v>2.5029032258064512</v>
      </c>
      <c r="F124" s="1">
        <v>2.6173333333333337</v>
      </c>
      <c r="G124" s="1">
        <v>4.153225806451613</v>
      </c>
      <c r="H124" s="1">
        <v>5.3863333333333339</v>
      </c>
      <c r="I124" s="2">
        <f>ROUND((AL122+AL123+AL125+AL126)/4+W124,1)</f>
        <v>8.6999999999999993</v>
      </c>
      <c r="J124" s="2">
        <f t="shared" ref="J124" si="8">ROUND((AM122+AM123+AM125+AM126)/4+X124,1)</f>
        <v>8.1999999999999993</v>
      </c>
      <c r="K124" s="2">
        <f>Y124+1</f>
        <v>9.9499999999999993</v>
      </c>
      <c r="L124" s="1">
        <v>5.2786206896551722</v>
      </c>
      <c r="M124" s="1">
        <v>3.13</v>
      </c>
      <c r="N124" s="1">
        <v>2.0714285714285712</v>
      </c>
      <c r="O124" s="1">
        <f t="shared" si="6"/>
        <v>4.71</v>
      </c>
      <c r="P124">
        <v>1996</v>
      </c>
      <c r="Q124">
        <v>1.57</v>
      </c>
      <c r="R124">
        <v>-0.9</v>
      </c>
      <c r="S124">
        <v>2.33</v>
      </c>
      <c r="T124">
        <v>1.67</v>
      </c>
      <c r="U124">
        <v>3.61</v>
      </c>
      <c r="V124">
        <v>5.93</v>
      </c>
      <c r="W124">
        <v>8.7100000000000009</v>
      </c>
      <c r="X124">
        <v>8.15</v>
      </c>
      <c r="Y124">
        <v>8.9499999999999993</v>
      </c>
      <c r="Z124">
        <v>2.89</v>
      </c>
      <c r="AA124">
        <v>-1.1299999999999999</v>
      </c>
      <c r="AB124">
        <v>-0.56000000000000005</v>
      </c>
      <c r="AC124">
        <v>3.44</v>
      </c>
    </row>
    <row r="125" spans="1:29" x14ac:dyDescent="0.2">
      <c r="A125">
        <v>404</v>
      </c>
      <c r="B125">
        <v>1997</v>
      </c>
      <c r="C125" s="2">
        <f>ROUND((AF123+AF124+AF126+AF127)/4+Q125,1)</f>
        <v>-0.3</v>
      </c>
      <c r="D125" s="1">
        <v>1.330357142857143</v>
      </c>
      <c r="E125" s="1">
        <v>0.79903225806451628</v>
      </c>
      <c r="F125" s="1">
        <v>1.303333333333333</v>
      </c>
      <c r="G125" s="1">
        <v>2.4241935483870969</v>
      </c>
      <c r="H125" s="1">
        <v>4.5453333333333337</v>
      </c>
      <c r="I125" s="1">
        <v>6.6583870967741916</v>
      </c>
      <c r="J125" s="1">
        <v>7.9841935483870978</v>
      </c>
      <c r="K125" s="1">
        <v>7.070333333333334</v>
      </c>
      <c r="L125" s="1">
        <v>5.7790322580645173</v>
      </c>
      <c r="M125" s="1">
        <v>4.6903333333333332</v>
      </c>
      <c r="N125" s="1">
        <v>3.9860000000000007</v>
      </c>
      <c r="O125" s="1">
        <f t="shared" si="6"/>
        <v>3.86</v>
      </c>
      <c r="P125">
        <v>1997</v>
      </c>
      <c r="Q125">
        <v>-0.28999999999999998</v>
      </c>
      <c r="R125">
        <v>-1.44</v>
      </c>
      <c r="S125">
        <v>-1.4</v>
      </c>
      <c r="T125">
        <v>0.48</v>
      </c>
      <c r="U125">
        <v>1.88</v>
      </c>
      <c r="V125">
        <v>4.2</v>
      </c>
      <c r="W125">
        <v>9.24</v>
      </c>
      <c r="X125">
        <v>8.2799999999999994</v>
      </c>
      <c r="Y125">
        <v>6.18</v>
      </c>
      <c r="Z125">
        <v>3.39</v>
      </c>
      <c r="AA125">
        <v>2.31</v>
      </c>
      <c r="AB125">
        <v>1.78</v>
      </c>
      <c r="AC125">
        <v>2.88</v>
      </c>
    </row>
    <row r="126" spans="1:29" x14ac:dyDescent="0.2">
      <c r="A126">
        <v>404</v>
      </c>
      <c r="B126">
        <v>1998</v>
      </c>
      <c r="C126" s="1">
        <v>3.2119354838709664</v>
      </c>
      <c r="D126" s="1">
        <v>2.3932142857142855</v>
      </c>
      <c r="E126" s="1">
        <v>1.4129032258064518</v>
      </c>
      <c r="F126" s="1">
        <v>1.8270000000000002</v>
      </c>
      <c r="G126" s="1">
        <v>2.7525806451612911</v>
      </c>
      <c r="H126" s="1">
        <v>4.927999999999999</v>
      </c>
      <c r="I126" s="1">
        <v>5.5261290322580647</v>
      </c>
      <c r="J126" s="1">
        <v>7.2680645161290318</v>
      </c>
      <c r="K126" s="1">
        <v>6.857666666666665</v>
      </c>
      <c r="L126" s="1">
        <v>5.2412903225806451</v>
      </c>
      <c r="M126" s="1">
        <v>4.2489655172413787</v>
      </c>
      <c r="N126" s="1">
        <v>3.0322580645161286</v>
      </c>
      <c r="O126" s="1">
        <f t="shared" si="6"/>
        <v>4.0599999999999996</v>
      </c>
      <c r="P126">
        <v>1998</v>
      </c>
      <c r="Q126">
        <v>0.09</v>
      </c>
      <c r="R126">
        <v>-2.56</v>
      </c>
      <c r="S126">
        <v>-2.71</v>
      </c>
      <c r="T126">
        <v>-0.24</v>
      </c>
      <c r="U126">
        <v>3.73</v>
      </c>
      <c r="V126">
        <v>4.2699999999999996</v>
      </c>
      <c r="W126">
        <v>5.66</v>
      </c>
      <c r="X126">
        <v>8.39</v>
      </c>
      <c r="Y126">
        <v>5.16</v>
      </c>
      <c r="Z126">
        <v>2.06</v>
      </c>
      <c r="AA126">
        <v>1.3</v>
      </c>
      <c r="AB126">
        <v>0.47</v>
      </c>
      <c r="AC126">
        <v>2.14</v>
      </c>
    </row>
    <row r="127" spans="1:29" x14ac:dyDescent="0.2">
      <c r="A127">
        <v>404</v>
      </c>
      <c r="B127">
        <v>1999</v>
      </c>
      <c r="C127" s="1">
        <v>2.1145161290322574</v>
      </c>
      <c r="D127" s="1">
        <v>1.5303571428571423</v>
      </c>
      <c r="E127" s="1">
        <v>1.3683870967741936</v>
      </c>
      <c r="F127" s="1">
        <v>1.9273333333333329</v>
      </c>
      <c r="G127" s="1">
        <v>3.1706451612903224</v>
      </c>
      <c r="H127" s="1">
        <v>5.9253333333333327</v>
      </c>
      <c r="I127" s="1">
        <v>7.8432258064516143</v>
      </c>
      <c r="J127" s="1">
        <v>8.9554838709677398</v>
      </c>
      <c r="K127" s="1">
        <v>7.8126666666666669</v>
      </c>
      <c r="L127" s="1">
        <v>5.828275862068967</v>
      </c>
      <c r="M127" s="1">
        <v>4.4633333333333338</v>
      </c>
      <c r="N127" s="1">
        <v>2.73741935483871</v>
      </c>
      <c r="O127" s="1">
        <f t="shared" si="6"/>
        <v>4.47</v>
      </c>
      <c r="P127">
        <v>1999</v>
      </c>
      <c r="Q127">
        <v>-0.5</v>
      </c>
      <c r="R127">
        <v>-1.32</v>
      </c>
      <c r="S127">
        <v>-1.99</v>
      </c>
      <c r="T127">
        <v>-0.28999999999999998</v>
      </c>
      <c r="U127">
        <v>3.96</v>
      </c>
      <c r="V127">
        <v>7.26</v>
      </c>
      <c r="W127">
        <v>8.84</v>
      </c>
      <c r="X127">
        <v>9.11</v>
      </c>
      <c r="Y127">
        <v>6.23</v>
      </c>
      <c r="Z127">
        <v>3.99</v>
      </c>
      <c r="AA127">
        <v>1.65</v>
      </c>
      <c r="AB127">
        <v>-0.71</v>
      </c>
      <c r="AC127">
        <v>3.02</v>
      </c>
    </row>
    <row r="128" spans="1:29" x14ac:dyDescent="0.2">
      <c r="A128">
        <v>404</v>
      </c>
      <c r="B128">
        <v>2000</v>
      </c>
      <c r="C128" s="1">
        <v>2.3683870967741938</v>
      </c>
      <c r="D128" s="1">
        <v>1.4731034482758623</v>
      </c>
      <c r="E128" s="1">
        <v>1.5374193548387094</v>
      </c>
      <c r="F128" s="1">
        <v>1.752</v>
      </c>
      <c r="G128" s="1">
        <v>4.1100000000000003</v>
      </c>
      <c r="H128" s="1">
        <v>5.7180000000000009</v>
      </c>
      <c r="I128" s="1">
        <v>7.7558064516129024</v>
      </c>
      <c r="J128" s="1">
        <v>9.0645161290322545</v>
      </c>
      <c r="K128" s="1">
        <v>8.3089999999999993</v>
      </c>
      <c r="L128" s="1">
        <v>6.3509677419354844</v>
      </c>
      <c r="M128" s="1">
        <v>4.9906666666666659</v>
      </c>
      <c r="N128" s="1">
        <v>3.8567741935483881</v>
      </c>
      <c r="O128" s="1">
        <f t="shared" si="6"/>
        <v>4.7699999999999996</v>
      </c>
      <c r="P128">
        <v>2000</v>
      </c>
      <c r="Q128">
        <v>0.2</v>
      </c>
      <c r="R128">
        <v>-1.59</v>
      </c>
      <c r="S128">
        <v>-1.51</v>
      </c>
      <c r="T128">
        <v>-0.8</v>
      </c>
      <c r="U128">
        <v>4.42</v>
      </c>
      <c r="V128">
        <v>5.89</v>
      </c>
      <c r="W128">
        <v>9.27</v>
      </c>
      <c r="X128">
        <v>9.2899999999999991</v>
      </c>
      <c r="Y128">
        <v>7.51</v>
      </c>
      <c r="Z128">
        <v>4.1100000000000003</v>
      </c>
      <c r="AA128">
        <v>1.51</v>
      </c>
      <c r="AB128">
        <v>-0.11</v>
      </c>
      <c r="AC128">
        <v>3.18</v>
      </c>
    </row>
    <row r="129" spans="1:29" x14ac:dyDescent="0.2">
      <c r="A129">
        <v>404</v>
      </c>
      <c r="B129">
        <v>2001</v>
      </c>
      <c r="C129" s="1">
        <v>3.1348387096774202</v>
      </c>
      <c r="D129" s="2">
        <f>ROUND((AG127+AG128+AG130+AG131)/4+R129,1)</f>
        <v>-0.5</v>
      </c>
      <c r="E129" s="2">
        <f>ROUND((AH127+AH128+AH130+AH131)/4+S129,1)</f>
        <v>-2.4</v>
      </c>
      <c r="F129" s="1">
        <v>2.4180000000000001</v>
      </c>
      <c r="G129" s="1">
        <v>3.701935483870967</v>
      </c>
      <c r="H129" s="1">
        <v>5.5203333333333324</v>
      </c>
      <c r="I129" s="1">
        <v>7.5609677419354853</v>
      </c>
      <c r="J129" s="1">
        <v>8.5396774193548382</v>
      </c>
      <c r="K129" s="1">
        <v>7.6740000000000013</v>
      </c>
      <c r="L129" s="1">
        <v>6.5103225806451617</v>
      </c>
      <c r="M129" s="1">
        <v>6.9646666666666679</v>
      </c>
      <c r="N129" s="1">
        <v>5.1364516129032252</v>
      </c>
      <c r="O129" s="1">
        <f t="shared" si="6"/>
        <v>4.5199999999999996</v>
      </c>
      <c r="P129">
        <v>2001</v>
      </c>
      <c r="Q129">
        <v>2.0099999999999998</v>
      </c>
      <c r="R129">
        <v>-0.5</v>
      </c>
      <c r="S129">
        <v>-2.35</v>
      </c>
      <c r="T129">
        <v>-0.17</v>
      </c>
      <c r="U129">
        <v>3.79</v>
      </c>
      <c r="V129">
        <v>5.13</v>
      </c>
      <c r="W129">
        <v>8.0500000000000007</v>
      </c>
      <c r="X129">
        <v>8.25</v>
      </c>
      <c r="Y129">
        <v>7.04</v>
      </c>
      <c r="Z129">
        <v>4.53</v>
      </c>
      <c r="AA129">
        <v>1.54</v>
      </c>
      <c r="AB129">
        <v>1.5</v>
      </c>
      <c r="AC129">
        <v>3.24</v>
      </c>
    </row>
    <row r="130" spans="1:29" x14ac:dyDescent="0.2">
      <c r="A130">
        <v>404</v>
      </c>
      <c r="B130">
        <v>2002</v>
      </c>
      <c r="C130" s="1">
        <v>0.97516129032258081</v>
      </c>
      <c r="D130" s="1">
        <v>-1.0671428571428569</v>
      </c>
      <c r="E130" s="1">
        <v>-0.52821428571428586</v>
      </c>
      <c r="F130" s="1">
        <v>1.5979999999999996</v>
      </c>
      <c r="G130" s="1">
        <v>2.2445161290322586</v>
      </c>
      <c r="H130" s="1">
        <v>4.1310000000000002</v>
      </c>
      <c r="I130" s="1">
        <v>6.0535483870967752</v>
      </c>
      <c r="J130" s="1">
        <v>7.8670967741935494</v>
      </c>
      <c r="K130" s="1">
        <v>7.4606666666666674</v>
      </c>
      <c r="L130" s="1">
        <v>5.4832258064516131</v>
      </c>
      <c r="M130" s="1">
        <v>4.8406666666666665</v>
      </c>
      <c r="N130" s="1">
        <v>5.0190322580645157</v>
      </c>
      <c r="O130" s="1">
        <f t="shared" si="6"/>
        <v>3.67</v>
      </c>
      <c r="P130">
        <v>2002</v>
      </c>
      <c r="Q130">
        <v>0.06</v>
      </c>
      <c r="R130">
        <v>-3.9</v>
      </c>
      <c r="S130">
        <v>-2.69</v>
      </c>
      <c r="T130">
        <v>1.6</v>
      </c>
      <c r="U130">
        <v>2.64</v>
      </c>
      <c r="V130">
        <v>6.28</v>
      </c>
      <c r="W130">
        <v>7.84</v>
      </c>
      <c r="X130">
        <v>8.1999999999999993</v>
      </c>
      <c r="Y130">
        <v>7.54</v>
      </c>
      <c r="Z130">
        <v>4.17</v>
      </c>
      <c r="AA130">
        <v>3.85</v>
      </c>
      <c r="AB130">
        <v>3.53</v>
      </c>
      <c r="AC130">
        <v>3.26</v>
      </c>
    </row>
    <row r="131" spans="1:29" x14ac:dyDescent="0.2">
      <c r="A131">
        <v>404</v>
      </c>
      <c r="B131">
        <v>2003</v>
      </c>
      <c r="C131" s="1">
        <v>4.210645161290322</v>
      </c>
      <c r="D131" s="1">
        <v>4.0471428571428572</v>
      </c>
      <c r="E131" s="1">
        <v>3.8783870967741936</v>
      </c>
      <c r="F131" s="1">
        <v>4.2816666666666672</v>
      </c>
      <c r="G131" s="2">
        <f>ROUND(-(AJ129+AJ130+AJ132+AJ133)/4+U131,1)</f>
        <v>3.4</v>
      </c>
      <c r="H131" s="1">
        <v>6.9329999999999989</v>
      </c>
      <c r="I131" s="1">
        <v>8.5790322580645153</v>
      </c>
      <c r="J131" s="1">
        <v>10.197741935483869</v>
      </c>
      <c r="K131" s="1">
        <v>9.5609999999999999</v>
      </c>
      <c r="L131" s="1">
        <v>7.1961290322580629</v>
      </c>
      <c r="M131" s="1">
        <v>5.6559999999999997</v>
      </c>
      <c r="N131" s="1">
        <v>4.3129032258064512</v>
      </c>
      <c r="O131" s="1">
        <f t="shared" si="6"/>
        <v>6.02</v>
      </c>
      <c r="P131">
        <v>2003</v>
      </c>
      <c r="Q131">
        <v>-0.05</v>
      </c>
      <c r="R131">
        <v>2.36</v>
      </c>
      <c r="S131">
        <v>2.67</v>
      </c>
      <c r="T131">
        <v>3.68</v>
      </c>
      <c r="U131">
        <v>3.39</v>
      </c>
      <c r="V131">
        <v>7.8</v>
      </c>
      <c r="W131">
        <v>8.9</v>
      </c>
      <c r="X131">
        <v>11.24</v>
      </c>
      <c r="Y131">
        <v>8.2200000000000006</v>
      </c>
      <c r="Z131">
        <v>4.1100000000000003</v>
      </c>
      <c r="AA131">
        <v>2.85</v>
      </c>
      <c r="AB131">
        <v>-0.5</v>
      </c>
      <c r="AC131">
        <v>4.5599999999999996</v>
      </c>
    </row>
    <row r="132" spans="1:29" x14ac:dyDescent="0.2">
      <c r="A132">
        <v>404</v>
      </c>
      <c r="B132">
        <v>2004</v>
      </c>
      <c r="C132" s="1">
        <v>3.3251612903225798</v>
      </c>
      <c r="D132" s="1">
        <v>2.1534482758620688</v>
      </c>
      <c r="E132" s="1">
        <v>3.2222580645161285</v>
      </c>
      <c r="F132" s="1">
        <v>3.5636666666666668</v>
      </c>
      <c r="G132" s="1">
        <v>4.5732258064516129</v>
      </c>
      <c r="H132" s="1">
        <v>6.9950000000000001</v>
      </c>
      <c r="I132" s="1">
        <v>8.9751612903225801</v>
      </c>
      <c r="J132" s="1">
        <v>10.128999999999998</v>
      </c>
      <c r="K132" s="1">
        <v>9.2236666666666682</v>
      </c>
      <c r="L132" s="1">
        <v>6.9422580645161291</v>
      </c>
      <c r="M132" s="1">
        <v>4.9219999999999988</v>
      </c>
      <c r="N132" s="1">
        <v>3.7016129032258056</v>
      </c>
      <c r="O132" s="1">
        <f t="shared" si="6"/>
        <v>5.64</v>
      </c>
      <c r="P132">
        <v>2004</v>
      </c>
      <c r="Q132">
        <v>-0.81</v>
      </c>
      <c r="R132">
        <v>-0.1</v>
      </c>
      <c r="S132">
        <v>2.36</v>
      </c>
      <c r="T132">
        <v>2.39</v>
      </c>
      <c r="U132">
        <v>3.83</v>
      </c>
      <c r="V132">
        <v>7.51</v>
      </c>
      <c r="W132">
        <v>9.9</v>
      </c>
      <c r="X132">
        <v>10.55</v>
      </c>
      <c r="Y132">
        <v>8.06</v>
      </c>
      <c r="Z132">
        <v>3.99</v>
      </c>
      <c r="AA132">
        <v>1.3</v>
      </c>
      <c r="AB132">
        <v>-0.37</v>
      </c>
      <c r="AC132">
        <f t="shared" ref="AC132:AC144" si="9">ROUND(AVERAGE(Q132:AB132),2)</f>
        <v>4.05</v>
      </c>
    </row>
    <row r="133" spans="1:29" x14ac:dyDescent="0.2">
      <c r="A133">
        <v>404</v>
      </c>
      <c r="B133">
        <v>2005</v>
      </c>
      <c r="C133" s="1">
        <v>2.6938709677419355</v>
      </c>
      <c r="D133" s="1">
        <v>2.5878571428571435</v>
      </c>
      <c r="E133" s="1">
        <v>2.3558064516129034</v>
      </c>
      <c r="F133" s="1">
        <v>2.8583333333333343</v>
      </c>
      <c r="G133" s="1">
        <v>3.4848387096774189</v>
      </c>
      <c r="H133" s="1">
        <v>5.2919999999999998</v>
      </c>
      <c r="I133" s="1">
        <v>7.8541935483870962</v>
      </c>
      <c r="J133" s="1">
        <v>8.4048387096774171</v>
      </c>
      <c r="K133" s="1">
        <v>7.044666666666668</v>
      </c>
      <c r="L133" s="1">
        <v>5.2774193548387105</v>
      </c>
      <c r="M133" s="1">
        <v>4.1393333333333313</v>
      </c>
      <c r="N133" s="1">
        <v>3.2441935483870963</v>
      </c>
      <c r="O133" s="1">
        <f t="shared" si="6"/>
        <v>4.5999999999999996</v>
      </c>
      <c r="P133">
        <v>2005</v>
      </c>
      <c r="Q133">
        <v>-0.08</v>
      </c>
      <c r="R133">
        <v>0.88</v>
      </c>
      <c r="S133">
        <v>1.05</v>
      </c>
      <c r="T133">
        <v>0.8</v>
      </c>
      <c r="U133">
        <v>2.19</v>
      </c>
      <c r="V133">
        <v>6.17</v>
      </c>
      <c r="W133">
        <v>8.83</v>
      </c>
      <c r="X133">
        <v>7.87</v>
      </c>
      <c r="Y133">
        <v>4.3</v>
      </c>
      <c r="Z133">
        <v>1.45</v>
      </c>
      <c r="AA133">
        <v>1</v>
      </c>
      <c r="AB133">
        <v>1.79</v>
      </c>
      <c r="AC133">
        <f t="shared" si="9"/>
        <v>3.02</v>
      </c>
    </row>
    <row r="134" spans="1:29" x14ac:dyDescent="0.2">
      <c r="A134">
        <v>404</v>
      </c>
      <c r="B134">
        <v>2006</v>
      </c>
      <c r="C134" s="1">
        <v>2.8893548387096772</v>
      </c>
      <c r="D134" s="1">
        <v>3.125</v>
      </c>
      <c r="E134" s="1">
        <v>2.5048387096774185</v>
      </c>
      <c r="F134" s="1">
        <v>2.5216666666666669</v>
      </c>
      <c r="G134" s="1">
        <v>3.6990322580645163</v>
      </c>
      <c r="H134" s="1">
        <v>5.3960000000000008</v>
      </c>
      <c r="I134" s="1">
        <v>7.2364516129032266</v>
      </c>
      <c r="J134" s="1">
        <v>8.3109677419354835</v>
      </c>
      <c r="K134" s="1">
        <v>7.3313333333333333</v>
      </c>
      <c r="L134" s="2">
        <f>ROUND((AO132+AO133+AO135+AO136)/4+Z134,1)</f>
        <v>3.4</v>
      </c>
      <c r="M134" s="2">
        <f t="shared" ref="M134:N134" si="10">ROUND((AP132+AP133+AP135+AP136)/4+AA134,1)</f>
        <v>-0.5</v>
      </c>
      <c r="N134" s="2">
        <f t="shared" si="10"/>
        <v>2.4</v>
      </c>
      <c r="O134" s="1">
        <f t="shared" si="6"/>
        <v>4.03</v>
      </c>
      <c r="P134">
        <v>2006</v>
      </c>
      <c r="Q134">
        <v>1.7</v>
      </c>
      <c r="R134">
        <v>1.52</v>
      </c>
      <c r="S134">
        <v>-0.6</v>
      </c>
      <c r="T134">
        <v>1.04</v>
      </c>
      <c r="U134">
        <v>2.87</v>
      </c>
      <c r="V134">
        <v>7.45</v>
      </c>
      <c r="W134">
        <v>8.4</v>
      </c>
      <c r="X134">
        <v>9.23</v>
      </c>
      <c r="Y134">
        <v>7.14</v>
      </c>
      <c r="Z134">
        <v>3.36</v>
      </c>
      <c r="AA134">
        <v>-0.52</v>
      </c>
      <c r="AB134">
        <v>2.41</v>
      </c>
      <c r="AC134">
        <f t="shared" si="9"/>
        <v>3.67</v>
      </c>
    </row>
    <row r="135" spans="1:29" x14ac:dyDescent="0.2">
      <c r="A135">
        <v>404</v>
      </c>
      <c r="B135">
        <v>2007</v>
      </c>
      <c r="C135" s="2">
        <f>ROUND((AF133+AF134+AF136+AF137)/4+Q135,1)</f>
        <v>-0.7</v>
      </c>
      <c r="D135" s="2">
        <f t="shared" ref="D135:F135" si="11">ROUND((AG133+AG134+AG136+AG137)/4+R135,1)</f>
        <v>-0.3</v>
      </c>
      <c r="E135" s="2">
        <f t="shared" si="11"/>
        <v>1</v>
      </c>
      <c r="F135" s="2">
        <f t="shared" si="11"/>
        <v>2.7</v>
      </c>
      <c r="G135" s="1">
        <v>3.6138461538461537</v>
      </c>
      <c r="H135" s="1">
        <v>5.6583333333333332</v>
      </c>
      <c r="I135" s="1">
        <v>7.845161290322582</v>
      </c>
      <c r="J135" s="1">
        <v>8.74</v>
      </c>
      <c r="K135" s="1">
        <v>7.7133333333333338</v>
      </c>
      <c r="L135" s="1">
        <v>5.1732258064516135</v>
      </c>
      <c r="M135" s="1">
        <v>4.0853333333333328</v>
      </c>
      <c r="N135" s="1">
        <v>3.7912903225806454</v>
      </c>
      <c r="O135" s="1">
        <f t="shared" si="6"/>
        <v>4.1100000000000003</v>
      </c>
      <c r="P135">
        <v>2007</v>
      </c>
      <c r="Q135">
        <v>-0.71</v>
      </c>
      <c r="R135">
        <v>-0.31</v>
      </c>
      <c r="S135">
        <v>1.04</v>
      </c>
      <c r="T135">
        <v>2.71</v>
      </c>
      <c r="U135">
        <v>2.39</v>
      </c>
      <c r="V135">
        <v>7.34</v>
      </c>
      <c r="W135">
        <v>8.09</v>
      </c>
      <c r="X135">
        <v>8.19</v>
      </c>
      <c r="Y135">
        <v>6.04</v>
      </c>
      <c r="Z135">
        <v>4.2</v>
      </c>
      <c r="AA135">
        <v>1.37</v>
      </c>
      <c r="AB135">
        <v>1.81</v>
      </c>
      <c r="AC135">
        <f t="shared" si="9"/>
        <v>3.51</v>
      </c>
    </row>
    <row r="136" spans="1:29" x14ac:dyDescent="0.2">
      <c r="A136">
        <v>404</v>
      </c>
      <c r="B136" s="4">
        <v>2008</v>
      </c>
      <c r="C136" s="1">
        <v>3.4009677419354842</v>
      </c>
      <c r="D136" s="1">
        <v>2.7631034482758619</v>
      </c>
      <c r="E136" s="1">
        <v>2.1790322580645158</v>
      </c>
      <c r="F136" s="1">
        <v>2.6996666666666673</v>
      </c>
      <c r="G136" s="1">
        <v>3.7590322580645159</v>
      </c>
      <c r="H136" s="1">
        <v>6.2833333333333332</v>
      </c>
      <c r="I136" s="1">
        <v>8.1564516129032256</v>
      </c>
      <c r="J136" s="1">
        <v>9.6074193548387097</v>
      </c>
      <c r="K136" s="1">
        <v>8.9153333333333347</v>
      </c>
      <c r="L136" s="1">
        <v>6.9883870967741943</v>
      </c>
      <c r="M136" s="1">
        <v>5.3206666666666678</v>
      </c>
      <c r="N136" s="1">
        <v>3.8493548387096768</v>
      </c>
      <c r="O136" s="1">
        <f t="shared" si="6"/>
        <v>5.33</v>
      </c>
      <c r="P136">
        <v>2008</v>
      </c>
      <c r="Q136">
        <v>0.3</v>
      </c>
      <c r="R136">
        <v>0.17</v>
      </c>
      <c r="S136">
        <v>-1.03</v>
      </c>
      <c r="T136">
        <v>0.88</v>
      </c>
      <c r="U136">
        <v>4.7</v>
      </c>
      <c r="V136">
        <v>6.99</v>
      </c>
      <c r="W136">
        <v>9.0500000000000007</v>
      </c>
      <c r="X136">
        <v>10.07</v>
      </c>
      <c r="Y136">
        <v>8.73</v>
      </c>
      <c r="Z136">
        <v>2.59</v>
      </c>
      <c r="AA136">
        <v>1.32</v>
      </c>
      <c r="AB136">
        <v>1.43</v>
      </c>
      <c r="AC136">
        <f t="shared" si="9"/>
        <v>3.77</v>
      </c>
    </row>
    <row r="137" spans="1:29" x14ac:dyDescent="0.2">
      <c r="A137">
        <v>404</v>
      </c>
      <c r="B137" s="4">
        <v>2009</v>
      </c>
      <c r="C137" s="1">
        <v>3.0554838709677417</v>
      </c>
      <c r="D137" s="1">
        <v>2.1210714285714287</v>
      </c>
      <c r="E137" s="1">
        <v>2.0016129032258063</v>
      </c>
      <c r="F137" s="1">
        <v>2.5146666666666659</v>
      </c>
      <c r="G137" s="1">
        <v>3.7348387096774203</v>
      </c>
      <c r="H137" s="1">
        <v>6.5133333333333336</v>
      </c>
      <c r="I137" s="1">
        <v>8.6174193548387112</v>
      </c>
      <c r="J137" s="1">
        <v>8.8341935483870966</v>
      </c>
      <c r="K137" s="1">
        <v>7.8379999999999983</v>
      </c>
      <c r="L137" s="1">
        <v>5.909354838709679</v>
      </c>
      <c r="M137" s="1">
        <v>5.3259999999999996</v>
      </c>
      <c r="N137" s="1">
        <v>4.1390322580645149</v>
      </c>
      <c r="O137" s="1">
        <f t="shared" si="6"/>
        <v>5.05</v>
      </c>
      <c r="P137">
        <v>2009</v>
      </c>
      <c r="Q137">
        <v>1.1100000000000001</v>
      </c>
      <c r="R137">
        <v>-1.18</v>
      </c>
      <c r="S137">
        <v>-1.21</v>
      </c>
      <c r="T137">
        <v>1.93</v>
      </c>
      <c r="U137">
        <v>4.7300000000000004</v>
      </c>
      <c r="V137">
        <v>7</v>
      </c>
      <c r="W137">
        <v>8.9</v>
      </c>
      <c r="X137">
        <v>9.19</v>
      </c>
      <c r="Y137">
        <v>6.76</v>
      </c>
      <c r="Z137">
        <v>3.54</v>
      </c>
      <c r="AA137">
        <v>2.19</v>
      </c>
      <c r="AB137">
        <v>1.27</v>
      </c>
      <c r="AC137">
        <f t="shared" si="9"/>
        <v>3.69</v>
      </c>
    </row>
    <row r="138" spans="1:29" x14ac:dyDescent="0.2">
      <c r="A138">
        <v>404</v>
      </c>
      <c r="B138" s="4">
        <v>2010</v>
      </c>
      <c r="C138" s="1">
        <v>3.5135483870967743</v>
      </c>
      <c r="D138" s="1">
        <v>2.4492857142857147</v>
      </c>
      <c r="E138" s="1">
        <v>2.5570967741935489</v>
      </c>
      <c r="F138" s="1">
        <v>2.7153333333333336</v>
      </c>
      <c r="G138" s="1">
        <v>3.9980645161290327</v>
      </c>
      <c r="H138" s="1">
        <v>6.7956666666666656</v>
      </c>
      <c r="I138" s="1">
        <v>8.4132258064516154</v>
      </c>
      <c r="J138" s="1">
        <v>8.886451612903226</v>
      </c>
      <c r="K138" s="1">
        <v>8.3336666666666677</v>
      </c>
      <c r="L138" s="1">
        <v>6.9993548387096762</v>
      </c>
      <c r="M138" s="1">
        <v>5.3093333333333339</v>
      </c>
      <c r="N138" s="1">
        <v>4.0154838709677412</v>
      </c>
      <c r="O138" s="1">
        <f t="shared" si="6"/>
        <v>5.33</v>
      </c>
      <c r="P138">
        <v>2010</v>
      </c>
      <c r="Q138">
        <v>2.34</v>
      </c>
      <c r="R138">
        <v>-1</v>
      </c>
      <c r="S138">
        <v>0.26</v>
      </c>
      <c r="T138">
        <v>0.33</v>
      </c>
      <c r="U138">
        <v>3.65</v>
      </c>
      <c r="V138">
        <v>8.01</v>
      </c>
      <c r="W138">
        <v>8.8800000000000008</v>
      </c>
      <c r="X138">
        <v>9.5299999999999994</v>
      </c>
      <c r="Y138">
        <v>8.58</v>
      </c>
      <c r="Z138">
        <v>4.74</v>
      </c>
      <c r="AA138">
        <v>1.25</v>
      </c>
      <c r="AB138">
        <v>0.64</v>
      </c>
      <c r="AC138">
        <f t="shared" si="9"/>
        <v>3.93</v>
      </c>
    </row>
    <row r="139" spans="1:29" x14ac:dyDescent="0.2">
      <c r="A139">
        <v>404</v>
      </c>
      <c r="B139" s="4">
        <v>2011</v>
      </c>
      <c r="C139" s="1">
        <v>3.1506451612903223</v>
      </c>
      <c r="D139" s="1">
        <v>2.5375000000000001</v>
      </c>
      <c r="E139" s="1">
        <v>1.9425806451612901</v>
      </c>
      <c r="F139" s="1">
        <v>3.3473333333333333</v>
      </c>
      <c r="G139" s="1">
        <v>4.3180645161290325</v>
      </c>
      <c r="H139" s="1">
        <v>5.23</v>
      </c>
      <c r="I139" s="1">
        <v>7.43</v>
      </c>
      <c r="J139" s="1">
        <v>8.42</v>
      </c>
      <c r="K139" s="1">
        <v>7.04</v>
      </c>
      <c r="L139" s="1">
        <v>5.52</v>
      </c>
      <c r="M139" s="1">
        <v>5</v>
      </c>
      <c r="N139" s="1">
        <v>3.02</v>
      </c>
      <c r="O139" s="1">
        <f t="shared" si="6"/>
        <v>4.75</v>
      </c>
      <c r="P139">
        <v>2011</v>
      </c>
      <c r="Q139">
        <v>0.64</v>
      </c>
      <c r="R139">
        <v>1.3</v>
      </c>
      <c r="S139">
        <v>-1.38</v>
      </c>
      <c r="T139">
        <v>3.89</v>
      </c>
      <c r="U139">
        <v>3.33</v>
      </c>
      <c r="V139">
        <v>4.4800000000000004</v>
      </c>
      <c r="W139">
        <v>9.0399999999999991</v>
      </c>
      <c r="X139">
        <v>8.5399999999999991</v>
      </c>
      <c r="Y139">
        <v>6.81</v>
      </c>
      <c r="Z139">
        <v>3.7</v>
      </c>
      <c r="AA139">
        <v>3.72</v>
      </c>
      <c r="AB139">
        <v>-1.1399999999999999</v>
      </c>
      <c r="AC139">
        <f t="shared" si="9"/>
        <v>3.58</v>
      </c>
    </row>
    <row r="140" spans="1:29" x14ac:dyDescent="0.2">
      <c r="A140">
        <v>404</v>
      </c>
      <c r="B140" s="4">
        <v>2012</v>
      </c>
      <c r="C140" s="1">
        <v>3.3</v>
      </c>
      <c r="D140" s="1">
        <v>2.48</v>
      </c>
      <c r="E140" s="1">
        <v>2.57</v>
      </c>
      <c r="F140" s="1">
        <v>3.32</v>
      </c>
      <c r="G140" s="1">
        <v>4.5199999999999996</v>
      </c>
      <c r="H140" s="1">
        <v>6.56</v>
      </c>
      <c r="I140" s="1">
        <v>8.5399999999999991</v>
      </c>
      <c r="J140" s="1">
        <v>9.5</v>
      </c>
      <c r="K140" s="1">
        <v>7.19</v>
      </c>
      <c r="L140" s="1">
        <v>5.98</v>
      </c>
      <c r="M140" s="1">
        <v>4.4400000000000004</v>
      </c>
      <c r="N140" s="2">
        <f>ROUND((AQ138+AQ139+AQ150+AQ151)/4+AB140,1)</f>
        <v>0.7</v>
      </c>
      <c r="O140" s="1">
        <f t="shared" si="6"/>
        <v>4.93</v>
      </c>
      <c r="P140">
        <v>2012</v>
      </c>
      <c r="Q140">
        <v>1.2</v>
      </c>
      <c r="R140">
        <v>1.72</v>
      </c>
      <c r="S140">
        <v>1.87</v>
      </c>
      <c r="T140">
        <v>0.36</v>
      </c>
      <c r="U140">
        <v>3.65</v>
      </c>
      <c r="V140">
        <v>6.37</v>
      </c>
      <c r="W140">
        <v>9.1199999999999992</v>
      </c>
      <c r="X140">
        <v>9.73</v>
      </c>
      <c r="Y140">
        <v>5.5</v>
      </c>
      <c r="Z140">
        <v>2.94</v>
      </c>
      <c r="AA140">
        <v>0.67</v>
      </c>
      <c r="AB140">
        <v>0.72</v>
      </c>
      <c r="AC140">
        <f t="shared" si="9"/>
        <v>3.65</v>
      </c>
    </row>
    <row r="141" spans="1:29" x14ac:dyDescent="0.2">
      <c r="A141">
        <v>404</v>
      </c>
      <c r="B141" s="4">
        <v>2013</v>
      </c>
      <c r="C141" s="1">
        <v>2.84</v>
      </c>
      <c r="D141" s="1">
        <v>2.8</v>
      </c>
      <c r="E141" s="1">
        <v>2.52</v>
      </c>
      <c r="F141" s="1">
        <v>3.22</v>
      </c>
      <c r="G141" s="1">
        <v>4.2699999999999996</v>
      </c>
      <c r="H141" s="1">
        <v>6.84</v>
      </c>
      <c r="I141" s="1">
        <v>7.74</v>
      </c>
      <c r="J141" s="1">
        <v>7.25</v>
      </c>
      <c r="K141" s="1">
        <v>5.95</v>
      </c>
      <c r="L141" s="1">
        <v>5.4</v>
      </c>
      <c r="M141" s="1">
        <v>4.41</v>
      </c>
      <c r="N141" s="5">
        <v>3.37</v>
      </c>
      <c r="O141" s="1">
        <f t="shared" si="6"/>
        <v>4.72</v>
      </c>
      <c r="P141">
        <v>2013</v>
      </c>
      <c r="Q141">
        <v>2</v>
      </c>
      <c r="R141">
        <v>2.3199999999999998</v>
      </c>
      <c r="S141">
        <v>-1.18</v>
      </c>
      <c r="T141">
        <v>-0.8</v>
      </c>
      <c r="U141">
        <v>3.72</v>
      </c>
      <c r="V141">
        <v>8.99</v>
      </c>
      <c r="W141">
        <v>8.82</v>
      </c>
      <c r="X141">
        <v>8.1300000000000008</v>
      </c>
      <c r="Y141">
        <v>5.35</v>
      </c>
      <c r="Z141">
        <v>3.17</v>
      </c>
      <c r="AA141">
        <v>0.95</v>
      </c>
      <c r="AB141">
        <v>0.03</v>
      </c>
      <c r="AC141">
        <f t="shared" si="9"/>
        <v>3.46</v>
      </c>
    </row>
    <row r="142" spans="1:29" x14ac:dyDescent="0.2">
      <c r="A142">
        <v>404</v>
      </c>
      <c r="B142" s="4">
        <v>2014</v>
      </c>
      <c r="C142" s="1">
        <v>3.14</v>
      </c>
      <c r="D142" s="1">
        <v>2.41</v>
      </c>
      <c r="E142" s="1">
        <v>2</v>
      </c>
      <c r="F142" s="1">
        <v>2.46</v>
      </c>
      <c r="G142" s="1">
        <v>4.18</v>
      </c>
      <c r="H142" s="1">
        <v>7.09</v>
      </c>
      <c r="I142" s="1">
        <v>8.77</v>
      </c>
      <c r="J142" s="1">
        <v>9.1199999999999992</v>
      </c>
      <c r="K142" s="1">
        <v>8.82</v>
      </c>
      <c r="L142" s="1">
        <v>7.24</v>
      </c>
      <c r="M142" s="1">
        <v>5.91</v>
      </c>
      <c r="N142" s="5">
        <v>4.4000000000000004</v>
      </c>
      <c r="O142" s="1">
        <f t="shared" si="6"/>
        <v>5.46</v>
      </c>
      <c r="P142">
        <v>2014</v>
      </c>
      <c r="Q142">
        <v>2.2599999999999998</v>
      </c>
      <c r="R142">
        <v>0.6</v>
      </c>
      <c r="S142">
        <v>0.54</v>
      </c>
      <c r="T142">
        <v>2.14</v>
      </c>
      <c r="U142">
        <v>5.08</v>
      </c>
      <c r="V142">
        <v>9.7100000000000009</v>
      </c>
      <c r="W142">
        <v>10.81</v>
      </c>
      <c r="X142">
        <v>9.6999999999999993</v>
      </c>
      <c r="Y142">
        <v>8.84</v>
      </c>
      <c r="Z142">
        <v>4.28</v>
      </c>
      <c r="AA142">
        <v>4.26</v>
      </c>
      <c r="AB142">
        <v>0.44</v>
      </c>
      <c r="AC142">
        <f t="shared" si="9"/>
        <v>4.8899999999999997</v>
      </c>
    </row>
    <row r="143" spans="1:29" x14ac:dyDescent="0.2">
      <c r="A143">
        <v>404</v>
      </c>
      <c r="B143" s="4">
        <v>2015</v>
      </c>
      <c r="C143" s="1">
        <v>3.24</v>
      </c>
      <c r="D143" s="1">
        <v>2.56</v>
      </c>
      <c r="E143" s="1">
        <v>2.4300000000000002</v>
      </c>
      <c r="F143" s="1">
        <v>2.4</v>
      </c>
      <c r="G143" s="1">
        <v>3.46</v>
      </c>
      <c r="H143" s="1">
        <v>5.15</v>
      </c>
      <c r="I143" s="1">
        <v>6.22</v>
      </c>
      <c r="J143" s="1">
        <v>7.5</v>
      </c>
      <c r="K143" s="1">
        <v>7.55</v>
      </c>
      <c r="L143" s="1">
        <v>6.3</v>
      </c>
      <c r="M143" s="1">
        <v>5.26</v>
      </c>
      <c r="N143" s="5">
        <v>3.78</v>
      </c>
      <c r="O143" s="1">
        <f t="shared" si="6"/>
        <v>4.6500000000000004</v>
      </c>
      <c r="P143" s="6">
        <v>2015</v>
      </c>
      <c r="Q143" s="5">
        <v>0.53</v>
      </c>
      <c r="R143" s="5">
        <v>-0.42</v>
      </c>
      <c r="S143" s="5">
        <v>0.59</v>
      </c>
      <c r="T143" s="5">
        <v>1.1000000000000001</v>
      </c>
      <c r="U143" s="5">
        <v>2.15</v>
      </c>
      <c r="V143" s="5">
        <v>5.6</v>
      </c>
      <c r="W143" s="5">
        <v>6.43</v>
      </c>
      <c r="X143" s="5">
        <v>8.26</v>
      </c>
      <c r="Y143" s="5">
        <v>8.39</v>
      </c>
      <c r="Z143" s="5">
        <v>5.18</v>
      </c>
      <c r="AA143" s="5">
        <v>2.21</v>
      </c>
      <c r="AB143" s="5">
        <v>0.35</v>
      </c>
      <c r="AC143">
        <f t="shared" si="9"/>
        <v>3.36</v>
      </c>
    </row>
    <row r="144" spans="1:29" x14ac:dyDescent="0.2">
      <c r="A144">
        <v>404</v>
      </c>
      <c r="B144" s="7">
        <v>2016</v>
      </c>
      <c r="C144" s="8">
        <v>3.01</v>
      </c>
      <c r="D144" s="8">
        <v>2.4700000000000002</v>
      </c>
      <c r="E144" s="8">
        <v>2.93</v>
      </c>
      <c r="F144" s="8">
        <v>3.62</v>
      </c>
      <c r="G144" s="8">
        <v>4.74</v>
      </c>
      <c r="H144" s="8">
        <v>6.88</v>
      </c>
      <c r="I144" s="8">
        <v>7.78</v>
      </c>
      <c r="J144" s="8">
        <v>8.85</v>
      </c>
      <c r="K144" s="8">
        <v>8.08</v>
      </c>
      <c r="L144" s="8">
        <v>7.27</v>
      </c>
      <c r="M144" s="8">
        <v>6.63</v>
      </c>
      <c r="N144" s="5">
        <v>5.61</v>
      </c>
      <c r="O144" s="1">
        <f t="shared" si="6"/>
        <v>5.66</v>
      </c>
      <c r="P144" s="6">
        <v>2016</v>
      </c>
      <c r="Q144" s="5">
        <v>0.8</v>
      </c>
      <c r="R144" s="5">
        <v>-0.59</v>
      </c>
      <c r="S144" s="5">
        <v>1.34</v>
      </c>
      <c r="T144" s="5">
        <v>1.77</v>
      </c>
      <c r="U144" s="5">
        <v>4.6100000000000003</v>
      </c>
      <c r="V144" s="5">
        <v>8.56</v>
      </c>
      <c r="W144" s="5">
        <v>8.51</v>
      </c>
      <c r="X144" s="5">
        <v>9.5299999999999994</v>
      </c>
      <c r="Y144" s="5">
        <v>7.93</v>
      </c>
      <c r="Z144" s="5">
        <v>7.61</v>
      </c>
      <c r="AA144" s="5">
        <v>4.04</v>
      </c>
      <c r="AB144" s="5">
        <v>3.54</v>
      </c>
      <c r="AC144">
        <f t="shared" si="9"/>
        <v>4.8</v>
      </c>
    </row>
    <row r="145" spans="1:29" x14ac:dyDescent="0.2">
      <c r="A145">
        <v>404</v>
      </c>
      <c r="B145" s="7">
        <v>2017</v>
      </c>
      <c r="C145" s="8">
        <v>4.0199999999999996</v>
      </c>
      <c r="D145" s="8">
        <v>3.73</v>
      </c>
      <c r="E145" s="8">
        <v>3.31</v>
      </c>
      <c r="F145" s="8">
        <v>3.61</v>
      </c>
      <c r="G145" s="8">
        <v>4.7300000000000004</v>
      </c>
      <c r="H145" s="8">
        <v>5.87</v>
      </c>
      <c r="I145" s="8">
        <v>7.68</v>
      </c>
      <c r="J145" s="8">
        <v>8.93</v>
      </c>
      <c r="K145" s="8">
        <v>8.58</v>
      </c>
      <c r="L145" s="8">
        <v>6.94</v>
      </c>
      <c r="M145" s="8">
        <v>5.16</v>
      </c>
      <c r="N145" s="5">
        <v>3.63</v>
      </c>
      <c r="O145" s="8">
        <f t="shared" si="6"/>
        <v>5.52</v>
      </c>
      <c r="P145" s="6">
        <v>2017</v>
      </c>
      <c r="Q145" s="5">
        <v>0.72</v>
      </c>
      <c r="R145" s="5">
        <v>2.96</v>
      </c>
      <c r="S145" s="5">
        <v>1.07</v>
      </c>
      <c r="T145" s="5">
        <v>1.02</v>
      </c>
      <c r="U145" s="5">
        <v>5.5</v>
      </c>
      <c r="V145" s="5">
        <v>6.13</v>
      </c>
      <c r="W145" s="5">
        <v>9.75</v>
      </c>
      <c r="X145" s="5">
        <v>8.67</v>
      </c>
      <c r="Y145" s="5">
        <v>9.0399999999999991</v>
      </c>
      <c r="Z145" s="5">
        <v>6.03</v>
      </c>
      <c r="AA145" s="5">
        <v>1.3</v>
      </c>
      <c r="AB145" s="5">
        <v>0</v>
      </c>
      <c r="AC145" s="5">
        <v>4.3499999999999996</v>
      </c>
    </row>
    <row r="146" spans="1:29" x14ac:dyDescent="0.2">
      <c r="A146" s="9">
        <v>404</v>
      </c>
      <c r="B146" s="7">
        <v>2018</v>
      </c>
      <c r="C146" s="8">
        <v>2.91</v>
      </c>
      <c r="D146" s="8">
        <v>2.74</v>
      </c>
      <c r="E146" s="8">
        <v>2.25</v>
      </c>
      <c r="F146" s="8">
        <v>3.17</v>
      </c>
      <c r="G146" s="8">
        <v>4.55</v>
      </c>
      <c r="H146" s="8">
        <v>6.13</v>
      </c>
      <c r="I146" s="8">
        <v>7.16</v>
      </c>
      <c r="J146" s="8">
        <v>8.09</v>
      </c>
      <c r="K146" s="8">
        <v>7.22</v>
      </c>
      <c r="L146" s="8">
        <v>5.39</v>
      </c>
      <c r="M146" s="8">
        <v>4.72</v>
      </c>
      <c r="N146" s="5">
        <v>4</v>
      </c>
      <c r="O146" s="8">
        <f t="shared" si="6"/>
        <v>4.8600000000000003</v>
      </c>
      <c r="P146" s="6">
        <v>2018</v>
      </c>
      <c r="Q146" s="5">
        <v>0.6</v>
      </c>
      <c r="R146" s="5">
        <v>1.87</v>
      </c>
      <c r="S146" s="5">
        <v>0.82</v>
      </c>
      <c r="T146" s="5">
        <v>2.15</v>
      </c>
      <c r="U146" s="5">
        <v>5.43</v>
      </c>
      <c r="V146" s="5">
        <v>7.63</v>
      </c>
      <c r="W146" s="5">
        <v>8.52</v>
      </c>
      <c r="X146" s="5">
        <v>7.89</v>
      </c>
      <c r="Y146" s="5">
        <v>6</v>
      </c>
      <c r="Z146" s="5">
        <v>3.49</v>
      </c>
      <c r="AA146" s="5">
        <v>2.88</v>
      </c>
      <c r="AB146" s="5">
        <v>2.23</v>
      </c>
      <c r="AC146" s="5">
        <v>4.13</v>
      </c>
    </row>
    <row r="147" spans="1:29" x14ac:dyDescent="0.2">
      <c r="A147" s="9">
        <v>404</v>
      </c>
      <c r="B147" s="7">
        <v>2019</v>
      </c>
      <c r="C147" s="8">
        <v>3.3</v>
      </c>
      <c r="D147" s="8">
        <v>2.83</v>
      </c>
      <c r="E147" s="8">
        <v>2.68</v>
      </c>
      <c r="F147" s="8">
        <v>3.92</v>
      </c>
      <c r="G147" s="8">
        <v>5.26</v>
      </c>
      <c r="H147" s="8">
        <v>6.36</v>
      </c>
      <c r="I147" s="8">
        <v>7.96</v>
      </c>
      <c r="J147" s="8">
        <v>7.91</v>
      </c>
      <c r="K147" s="8">
        <v>7.68</v>
      </c>
      <c r="L147" s="8">
        <v>6.16</v>
      </c>
      <c r="M147" s="8">
        <v>4.8499999999999996</v>
      </c>
      <c r="N147" s="5">
        <v>4.45</v>
      </c>
      <c r="O147" s="8">
        <f t="shared" si="6"/>
        <v>5.28</v>
      </c>
      <c r="P147" s="6">
        <v>2019</v>
      </c>
      <c r="Q147" s="5">
        <v>0.46</v>
      </c>
      <c r="R147" s="5">
        <v>0.24</v>
      </c>
      <c r="S147" s="5">
        <v>0.37</v>
      </c>
      <c r="T147" s="5">
        <v>4.6399999999999997</v>
      </c>
      <c r="U147" s="5">
        <v>3.62</v>
      </c>
      <c r="V147" s="5">
        <v>6.48</v>
      </c>
      <c r="W147" s="5">
        <v>9.0299999999999994</v>
      </c>
      <c r="X147" s="5">
        <v>7.38</v>
      </c>
      <c r="Y147" s="5">
        <v>7.24</v>
      </c>
      <c r="Z147" s="5">
        <v>4.47</v>
      </c>
      <c r="AA147" s="5">
        <v>2.17</v>
      </c>
      <c r="AB147" s="5">
        <v>0.94</v>
      </c>
      <c r="AC147" s="5">
        <v>3.92</v>
      </c>
    </row>
    <row r="148" spans="1:29" x14ac:dyDescent="0.2">
      <c r="A148" s="9">
        <v>404</v>
      </c>
      <c r="B148" s="7">
        <v>2020</v>
      </c>
      <c r="C148" s="2">
        <f>ROUND((AF146+AF147+AF149+AF150)/4+Q148,1)</f>
        <v>0.9</v>
      </c>
      <c r="D148" s="2">
        <f t="shared" ref="D148:J148" si="12">ROUND((AG146+AG147+AG149+AG150)/4+R148,1)</f>
        <v>-0.3</v>
      </c>
      <c r="E148" s="2">
        <f t="shared" si="12"/>
        <v>-0.4</v>
      </c>
      <c r="F148" s="2">
        <f t="shared" si="12"/>
        <v>1.8</v>
      </c>
      <c r="G148" s="2">
        <f t="shared" si="12"/>
        <v>4.2</v>
      </c>
      <c r="H148" s="2">
        <f t="shared" si="12"/>
        <v>7.9</v>
      </c>
      <c r="I148" s="2">
        <f t="shared" si="12"/>
        <v>7.6</v>
      </c>
      <c r="J148" s="2">
        <f t="shared" si="12"/>
        <v>9.6999999999999993</v>
      </c>
      <c r="K148" s="8">
        <v>7.47</v>
      </c>
      <c r="L148" s="8">
        <v>6.3</v>
      </c>
      <c r="M148" s="8">
        <v>5</v>
      </c>
      <c r="N148" s="5">
        <v>4.03</v>
      </c>
      <c r="O148" s="8">
        <f t="shared" si="6"/>
        <v>4.5199999999999996</v>
      </c>
      <c r="P148" s="6">
        <v>2020</v>
      </c>
      <c r="Q148" s="5">
        <v>0.92</v>
      </c>
      <c r="R148" s="5">
        <v>-0.3</v>
      </c>
      <c r="S148" s="5">
        <v>-0.4</v>
      </c>
      <c r="T148" s="5">
        <v>1.81</v>
      </c>
      <c r="U148" s="5">
        <v>4.21</v>
      </c>
      <c r="V148" s="5">
        <v>7.9</v>
      </c>
      <c r="W148" s="5">
        <v>7.56</v>
      </c>
      <c r="X148" s="5">
        <v>9.6999999999999993</v>
      </c>
      <c r="Y148" s="5">
        <v>5.89</v>
      </c>
      <c r="Z148" s="5">
        <v>4.87</v>
      </c>
      <c r="AA148" s="5">
        <v>2.2000000000000002</v>
      </c>
      <c r="AB148" s="5">
        <v>0.67</v>
      </c>
      <c r="AC148" s="5">
        <v>3.75</v>
      </c>
    </row>
    <row r="149" spans="1:29" x14ac:dyDescent="0.2">
      <c r="A149" s="9">
        <v>404</v>
      </c>
      <c r="B149" s="7">
        <v>2021</v>
      </c>
      <c r="C149" s="1">
        <v>2.68</v>
      </c>
      <c r="D149" s="1">
        <v>2.17</v>
      </c>
      <c r="E149" s="1">
        <v>2.33</v>
      </c>
      <c r="F149" s="1">
        <v>2.67</v>
      </c>
      <c r="G149" s="1">
        <v>3.84</v>
      </c>
      <c r="H149" s="1">
        <v>5.43</v>
      </c>
      <c r="I149" s="1"/>
      <c r="J149" s="1"/>
      <c r="K149" s="1"/>
      <c r="L149" s="1"/>
      <c r="M149" s="1"/>
      <c r="N149" s="2"/>
      <c r="O149" s="1"/>
      <c r="P149" s="6">
        <v>2021</v>
      </c>
      <c r="Q149">
        <v>-0.88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Kristján Jónasson - HI</dc:creator>
  <cp:lastModifiedBy>Kristján Jónasson - HI</cp:lastModifiedBy>
  <dcterms:created xsi:type="dcterms:W3CDTF">2026-04-29T09:59:16Z</dcterms:created>
  <dcterms:modified xsi:type="dcterms:W3CDTF">2026-04-29T09:59:41Z</dcterms:modified>
</cp:coreProperties>
</file>